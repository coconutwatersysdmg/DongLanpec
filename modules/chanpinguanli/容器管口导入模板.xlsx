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z828laksvjdb11_d871\msg\file\2026-09\"/>
    </mc:Choice>
  </mc:AlternateContent>
  <bookViews>
    <workbookView windowWidth="15345" windowHeight="24855"/>
  </bookViews>
  <sheets>
    <sheet name="圆筒-管口配置文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<sst xmlns="http://schemas.openxmlformats.org/spreadsheetml/2006/main" count="263" uniqueCount="118">
  <si>
    <t>序号</t>
  </si>
  <si>
    <t>信息内容</t>
  </si>
  <si>
    <t>预定义配置（值说明）</t>
  </si>
  <si>
    <t>管口参数项</t>
  </si>
  <si>
    <t>系列</t>
  </si>
  <si>
    <t>条件</t>
  </si>
  <si>
    <t>管口参数值</t>
  </si>
  <si>
    <t>单位</t>
  </si>
  <si>
    <t>附属元件-模版圆筒长度</t>
  </si>
  <si>
    <t>shell-X-轴向</t>
  </si>
  <si>
    <t>模版圆筒长度</t>
  </si>
  <si>
    <t>mm</t>
  </si>
  <si>
    <t>附属元件-模版圆筒公称直径</t>
  </si>
  <si>
    <t>shell-Y-径向</t>
  </si>
  <si>
    <t>模版圆筒公称直径</t>
  </si>
  <si>
    <t>接管信息</t>
  </si>
  <si>
    <t>值说明：1.是，2.否</t>
  </si>
  <si>
    <t>是否选用此接管</t>
  </si>
  <si>
    <t>是</t>
  </si>
  <si>
    <t>管口代号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</si>
  <si>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</si>
  <si>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</si>
  <si>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</si>
  <si>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</si>
  <si>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</si>
  <si>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</si>
  <si>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</si>
  <si>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</si>
  <si>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</si>
  <si>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</si>
  <si>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管口用途</t>
  </si>
  <si>
    <t>介质入口</t>
  </si>
  <si>
    <t>气相出口</t>
  </si>
  <si>
    <t>液相出口</t>
  </si>
  <si>
    <t>排污口</t>
  </si>
  <si>
    <t>放空口</t>
  </si>
  <si>
    <t>安全阀口</t>
  </si>
  <si>
    <t>液位计口1</t>
  </si>
  <si>
    <t>液位计口2</t>
  </si>
  <si>
    <t>压力表口</t>
  </si>
  <si>
    <t>温度计口</t>
  </si>
  <si>
    <t>值说明：1.配置规则确定；2.固定值</t>
  </si>
  <si>
    <t>管口公称尺寸定义类型</t>
  </si>
  <si>
    <t>管口公称尺寸确定方式：1.根据容器公称直径的配置规则确定；2.选用固定值；配置规则中的容器公称直径与管口尺寸以及管口公称尺寸(固定值)均可由用户修改。</t>
  </si>
  <si>
    <t>管口公称尺寸配置</t>
  </si>
  <si>
    <t>≤1000</t>
  </si>
  <si>
    <t>≤1500</t>
  </si>
  <si>
    <t>≤2000</t>
  </si>
  <si>
    <t>≤3000</t>
  </si>
  <si>
    <t>&gt;</t>
  </si>
  <si>
    <t>管口公称尺寸(固定值)</t>
  </si>
  <si>
    <t>值说明：1.固定值(接管最小实际外伸高度H)；2.程序推荐(按预定义配置)</t>
  </si>
  <si>
    <t>外伸高度值定义类型</t>
  </si>
  <si>
    <t>到接管法兰密封面</t>
  </si>
  <si>
    <t xml:space="preserve">固定值-接管最小实际外伸高度H </t>
  </si>
  <si>
    <t>值说明：1.固定值(接管距离底面=200)；2.按模版配置值与实际尺寸的比例随动。(模版比例是：1800/2000=1/9)；3.內伸=0</t>
  </si>
  <si>
    <t>内伸高度值定义类型</t>
  </si>
  <si>
    <t>固定值-接管实际内伸高度h</t>
  </si>
  <si>
    <t>值说明：1.左基准线；2.右基准线</t>
  </si>
  <si>
    <t>管口轴向定位距基准</t>
  </si>
  <si>
    <t>左基准线</t>
  </si>
  <si>
    <t>值说明：1.固定值；2.程序推荐(到筒体边缘的最小距离)；3.与结构比例随动</t>
  </si>
  <si>
    <t>管口轴向定位值定义类型</t>
  </si>
  <si>
    <t>管口轴向定位距离(固定值)</t>
  </si>
  <si>
    <t>管口轴向夹角</t>
  </si>
  <si>
    <t>°</t>
  </si>
  <si>
    <t>管口周向方位</t>
  </si>
  <si>
    <t>值说明：1.固定值；2.按模版配置值与实际尺寸的比例随动;3.偏心距=0</t>
  </si>
  <si>
    <t>管口偏心距值定义类型</t>
  </si>
  <si>
    <t>管口偏心距</t>
  </si>
  <si>
    <t>值说明：接管法兰配对法兰；2.接管拉筋；3.防冲挡板；4.破涡器。(可多选)</t>
  </si>
  <si>
    <t>管口附件</t>
  </si>
  <si>
    <t>附属元件-实际圆筒长度</t>
  </si>
  <si>
    <t>实际圆筒长度</t>
  </si>
  <si>
    <t>附属元件-实际公称直径</t>
  </si>
  <si>
    <t>实际公称直径</t>
  </si>
  <si>
    <t>输出至管口定义界面</t>
  </si>
  <si>
    <t>序列填充</t>
  </si>
  <si>
    <t>管口功能</t>
  </si>
  <si>
    <t>容器时，为空“/”。</t>
  </si>
  <si>
    <t>/</t>
  </si>
  <si>
    <t>管口公称尺寸</t>
  </si>
  <si>
    <t>DN</t>
  </si>
  <si>
    <t>默认值</t>
  </si>
  <si>
    <t>法兰标准</t>
  </si>
  <si>
    <t>HG/T 20615-2009</t>
  </si>
  <si>
    <t>压力等级</t>
  </si>
  <si>
    <t>CLASS</t>
  </si>
  <si>
    <t>法兰型式</t>
  </si>
  <si>
    <t>WN</t>
  </si>
  <si>
    <t>密封面型式</t>
  </si>
  <si>
    <t>RF</t>
  </si>
  <si>
    <t>焊端规格</t>
  </si>
  <si>
    <t>程序推荐</t>
  </si>
  <si>
    <t>管口所属元件</t>
  </si>
  <si>
    <t>圆筒</t>
  </si>
  <si>
    <t>轴向定位距离</t>
  </si>
  <si>
    <t>轴向夹角</t>
  </si>
  <si>
    <t>周向方位</t>
  </si>
  <si>
    <t>偏心距</t>
  </si>
  <si>
    <t xml:space="preserve">外伸高度 </t>
  </si>
  <si>
    <t xml:space="preserve">接管实际内伸高度 </t>
  </si>
  <si>
    <t>说明：绿色字体为配置内容，用户可自行定义管口配置数据，模版是以公称直径2000mm，筒体长度10000mm为例；以管口公称尺寸为例，有两种选择：1.配置规则确定；2.固定值；我们给出了不同公称直径对应的管口尺寸，也可输入一个固定值。用户若选择1..配置规则确定，则根据条件筛选，DN≥3000时，介质入口尺寸为200；用户若选择2.固定值，则直接输出F13的数值，介质入口尺寸为150。其他参数项原理相同。下方的橙色字体则为输出在管口定义界面的数据值，根据绿色行的定义来确定。当管口数较多时，可有用户自行复制列，添加管口。</t>
  </si>
  <si>
    <t>1.管口代号：管口代号不可为空且不可重复；</t>
  </si>
  <si>
    <t>2.公称尺寸：当选择DN系列时，可填写为：10/15/20/25/32/40~1200；当选择NPS系列时，可填写为：1/ 1-1/4 /2/3/4~48;</t>
  </si>
  <si>
    <t>3.法兰标准：压力等级类型为Class时，可填写为：HG/T 20615-2009、HG/T 20623-2009(A)、HG/T 20623-2009(B)、SH/T 3406-2022、SH/T 3406-2022(A)、SH/T 3406-2022(B)，压力等级类型为PN时，可填写为HG/T 20592(A)-2009、HG/T 20592(B)-2009</t>
  </si>
  <si>
    <t>4.压力等级：当选择CLASS系列时，HG/T 20592-2009、SH/T 3406-2022标准下可填写为：150~2500，HG/T 20623-2009(A)、HG/T 20623-2009(B)标准下可填写为：150-900，SH/T 3406-2022(A)、SH/T 3406-2022(B)标准下可填写75~900为；当选择PN系列时，可填写为：2.5~160;</t>
  </si>
  <si>
    <t>5.法兰型式：HG/T 20592-2009标准的法兰型式有：SO、WN、IF、SW、Th、LF/SE、LWN、BL；HG/T 20615-2009标准的法兰型式有：PL、SO、WN、IF、SW、Th、BL、BL(S)、PJ/SE、PJ/RJ、LF/SE、LWN；HG/T 20623-2009(A)、HG/T 20623-2009(B)标准的法兰形式有：WN、BL；SH/T 3406-2022标准的法兰型式有 WN、 SO、 SW、 LJ、 PT、 BL；SH/T 3406-2022(A)、SH/T 3406-2022(B)的法兰型式有WN、BL；</t>
  </si>
  <si>
    <t>6.密封面型式：HG/T 20592-2009标准的法兰密封面型式有：RF、T、G、FM、M、FF、RJ ；HG/T 20615-2009标准的法兰密封面型式有：RF、T、G、FF、RJ、FM、M；HG/T 20623-2009(A)、HG/T 20623-2009(B)标准的法兰密封面型式有：RF、RJ；SH/T 3406-2022标准的法兰密封面型式有RF、 FF、 MF、 TG、 RJ；SH/T 3406-2022(A)标准的法兰密封面型式有RF、RJ ;SH/T 3406-2022(B)标准的法兰密封面型式有RF；</t>
  </si>
  <si>
    <t>7.焊端规格：可填写为Schedule ：5S、10S、10、20、30、40S、STD、40、60、80S、XS、80、100、120、140、160、XXS；也可根据焊端规格mm，mm下可填写为程序推荐或者对应的数值；</t>
  </si>
  <si>
    <t>8.管口所属元件：封头、圆筒；</t>
  </si>
  <si>
    <t>9.轴向定位基准：圆筒可填写为：左基准线、右基准线；封头填写为：封头中心线、</t>
  </si>
  <si>
    <t>10.轴向定位距离：可填写具体数值，也可填写为“居中”,“程序推荐”；轴向定位距离小于“容器壳体长度”</t>
  </si>
  <si>
    <t>11.轴向夹角：可填写-90~90之间的数字(偏心距和轴向夹角不可同时赋值)；</t>
  </si>
  <si>
    <t>12.周向方位：可填写0~360之间的数字；</t>
  </si>
  <si>
    <t>13.偏心距：可填写-1/2公称直径~1/2公称直径之间的数字</t>
  </si>
  <si>
    <t>14.外伸高度：可填程序推荐或数值，数值不可小于1/2公称直径</t>
  </si>
  <si>
    <t>15.接管实际内伸高度 ：0≤内伸高度＜壳体公称直径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</si>
</sst>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tabSelected="1" zoomScale="70" zoomScaleNormal="70" workbookViewId="0">
      <pane ySplit="6" topLeftCell="A7" activePane="bottomLeft" state="frozen"/>
      <selection/>
      <selection pane="bottomLeft" activeCell="C19" sqref="C19"/>
    </sheetView>
  </sheetViews>
  <sheetFormatPr defaultColWidth="9" defaultRowHeight="14.25"/>
  <cols>
    <col min="1" max="1" width="4.75" style="2" customWidth="1"/>
    <col min="2" max="2" width="22.6333333333333" style="3" customWidth="1"/>
    <col min="3" max="3" width="25.6333333333333" style="4" customWidth="1"/>
    <col min="4" max="4" width="24.6333333333333" style="4" customWidth="1"/>
    <col min="5" max="5" width="12.6333333333333" style="2" customWidth="1"/>
    <col min="6" max="6" width="8.63333333333333" style="2" customWidth="1"/>
    <col min="7" max="16" width="15.6333333333333" style="2" customWidth="1"/>
    <col min="17" max="17" width="8.63333333333333" style="2" customWidth="1"/>
    <col min="18" max="16384" width="9" style="2"/>
  </cols>
  <sheetData>
    <row r="1" ht="16.5" spans="1:17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7</v>
      </c>
    </row>
    <row r="2" ht="16.5" spans="1:17">
      <c r="A2" s="7">
        <v>1</v>
      </c>
      <c r="B2" s="8" t="s">
        <v>8</v>
      </c>
      <c r="C2" s="9" t="s">
        <v>9</v>
      </c>
      <c r="D2" s="9" t="s">
        <v>10</v>
      </c>
      <c r="E2" s="10"/>
      <c r="F2" s="10"/>
      <c r="G2" s="11">
        <v>10000</v>
      </c>
      <c r="H2" s="12"/>
      <c r="I2" s="12"/>
      <c r="J2" s="12"/>
      <c r="K2" s="12"/>
      <c r="L2" s="12"/>
      <c r="M2" s="12"/>
      <c r="N2" s="12"/>
      <c r="O2" s="12"/>
      <c r="P2" s="12"/>
      <c r="Q2" s="13" t="s">
        <v>11</v>
      </c>
    </row>
    <row r="3" ht="16.5" customHeight="1" spans="1:17">
      <c r="A3" s="7">
        <v>2</v>
      </c>
      <c r="B3" s="8" t="s">
        <v>12</v>
      </c>
      <c r="C3" s="9" t="s">
        <v>13</v>
      </c>
      <c r="D3" s="9" t="s">
        <v>14</v>
      </c>
      <c r="E3" s="10"/>
      <c r="F3" s="10"/>
      <c r="G3" s="11">
        <v>2000</v>
      </c>
      <c r="H3" s="12"/>
      <c r="I3" s="12"/>
      <c r="J3" s="12"/>
      <c r="K3" s="12"/>
      <c r="L3" s="12"/>
      <c r="M3" s="12"/>
      <c r="N3" s="12"/>
      <c r="O3" s="12"/>
      <c r="P3" s="12"/>
      <c r="Q3" s="13" t="s">
        <v>11</v>
      </c>
    </row>
    <row r="4" ht="16.5" spans="1:17">
      <c r="A4" s="7">
        <v>3</v>
      </c>
      <c r="B4" s="8" t="s">
        <v>15</v>
      </c>
      <c r="C4" s="14" t="s">
        <v>16</v>
      </c>
      <c r="D4" s="14" t="s">
        <v>17</v>
      </c>
      <c r="E4" s="15"/>
      <c r="F4" s="15"/>
      <c r="G4" s="12" t="s">
        <v>18</v>
      </c>
      <c r="H4" s="12" t="s">
        <v>18</v>
      </c>
      <c r="I4" s="12" t="s">
        <v>18</v>
      </c>
      <c r="J4" s="12" t="s">
        <v>18</v>
      </c>
      <c r="K4" s="12" t="s">
        <v>18</v>
      </c>
      <c r="L4" s="12" t="s">
        <v>18</v>
      </c>
      <c r="M4" s="12" t="s">
        <v>18</v>
      </c>
      <c r="N4" s="12" t="s">
        <v>18</v>
      </c>
      <c r="O4" s="12" t="s">
        <v>18</v>
      </c>
      <c r="P4" s="12" t="s">
        <v>18</v>
      </c>
      <c r="Q4" s="15"/>
    </row>
    <row r="5" ht="16.5" spans="1:17">
      <c r="A5" s="7">
        <v>4</v>
      </c>
      <c r="B5" s="8" t="s">
        <v>15</v>
      </c>
      <c r="C5" s="9"/>
      <c r="D5" s="9" t="s">
        <v>19</v>
      </c>
      <c r="E5" s="13"/>
      <c r="F5" s="13"/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  <c r="M5" s="12" t="s">
        <v>26</v>
      </c>
      <c r="N5" s="12" t="s">
        <v>27</v>
      </c>
      <c r="O5" s="12" t="s">
        <v>28</v>
      </c>
      <c r="P5" s="12" t="s">
        <v>29</v>
      </c>
      <c r="Q5" s="13"/>
    </row>
    <row r="6" ht="16.5" spans="1:17">
      <c r="A6" s="7">
        <v>5</v>
      </c>
      <c r="B6" s="8" t="s">
        <v>15</v>
      </c>
      <c r="C6" s="9"/>
      <c r="D6" s="9" t="s">
        <v>30</v>
      </c>
      <c r="E6" s="13"/>
      <c r="F6" s="13"/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3"/>
    </row>
    <row r="7" ht="33" spans="1:17">
      <c r="A7" s="7">
        <v>6</v>
      </c>
      <c r="B7" s="8" t="s">
        <v>15</v>
      </c>
      <c r="C7" s="9" t="s">
        <v>41</v>
      </c>
      <c r="D7" s="9" t="s">
        <v>42</v>
      </c>
      <c r="E7" s="13"/>
      <c r="F7" s="13"/>
      <c r="G7" s="12">
        <v>1</v>
      </c>
      <c r="H7" s="12">
        <v>1</v>
      </c>
      <c r="I7" s="12">
        <v>1</v>
      </c>
      <c r="J7" s="12">
        <v>2</v>
      </c>
      <c r="K7" s="12">
        <v>2</v>
      </c>
      <c r="L7" s="12">
        <v>1</v>
      </c>
      <c r="M7" s="12">
        <v>2</v>
      </c>
      <c r="N7" s="12">
        <v>2</v>
      </c>
      <c r="O7" s="12">
        <v>2</v>
      </c>
      <c r="P7" s="12">
        <v>2</v>
      </c>
      <c r="Q7" s="13"/>
    </row>
    <row r="8" s="1" customFormat="1" ht="28.5" customHeight="1" spans="1:17">
      <c r="A8" s="7">
        <v>7</v>
      </c>
      <c r="B8" s="8" t="s">
        <v>15</v>
      </c>
      <c r="C8" s="16" t="s">
        <v>43</v>
      </c>
      <c r="D8" s="17" t="s">
        <v>44</v>
      </c>
      <c r="E8" s="15"/>
      <c r="F8" s="15" t="s">
        <v>45</v>
      </c>
      <c r="G8" s="12">
        <v>100</v>
      </c>
      <c r="H8" s="12">
        <v>100</v>
      </c>
      <c r="I8" s="12">
        <v>100</v>
      </c>
      <c r="J8" s="12">
        <v>50</v>
      </c>
      <c r="K8" s="12">
        <v>50</v>
      </c>
      <c r="L8" s="12">
        <v>50</v>
      </c>
      <c r="M8" s="12">
        <v>50</v>
      </c>
      <c r="N8" s="12">
        <v>50</v>
      </c>
      <c r="O8" s="12">
        <v>50</v>
      </c>
      <c r="P8" s="12">
        <v>50</v>
      </c>
      <c r="Q8" s="15"/>
    </row>
    <row r="9" s="1" customFormat="1" ht="16.5" spans="1:17">
      <c r="A9" s="7">
        <v>8</v>
      </c>
      <c r="B9" s="8" t="s">
        <v>15</v>
      </c>
      <c r="C9" s="18"/>
      <c r="D9" s="19"/>
      <c r="E9" s="15"/>
      <c r="F9" s="15" t="s">
        <v>46</v>
      </c>
      <c r="G9" s="12">
        <v>150</v>
      </c>
      <c r="H9" s="12">
        <v>150</v>
      </c>
      <c r="I9" s="12">
        <v>150</v>
      </c>
      <c r="J9" s="12">
        <v>50</v>
      </c>
      <c r="K9" s="12">
        <v>50</v>
      </c>
      <c r="L9" s="12">
        <v>65</v>
      </c>
      <c r="M9" s="12">
        <v>50</v>
      </c>
      <c r="N9" s="12">
        <v>50</v>
      </c>
      <c r="O9" s="12">
        <v>50</v>
      </c>
      <c r="P9" s="12">
        <v>50</v>
      </c>
      <c r="Q9" s="15"/>
    </row>
    <row r="10" s="1" customFormat="1" ht="16.5" spans="1:17">
      <c r="A10" s="7">
        <v>9</v>
      </c>
      <c r="B10" s="8" t="s">
        <v>15</v>
      </c>
      <c r="C10" s="18"/>
      <c r="D10" s="19"/>
      <c r="E10" s="15"/>
      <c r="F10" s="15" t="s">
        <v>47</v>
      </c>
      <c r="G10" s="12">
        <v>200</v>
      </c>
      <c r="H10" s="12">
        <v>200</v>
      </c>
      <c r="I10" s="12">
        <v>200</v>
      </c>
      <c r="J10" s="12">
        <v>80</v>
      </c>
      <c r="K10" s="12">
        <v>80</v>
      </c>
      <c r="L10" s="12">
        <v>80</v>
      </c>
      <c r="M10" s="12">
        <v>50</v>
      </c>
      <c r="N10" s="12">
        <v>50</v>
      </c>
      <c r="O10" s="12">
        <v>50</v>
      </c>
      <c r="P10" s="12">
        <v>50</v>
      </c>
      <c r="Q10" s="15"/>
    </row>
    <row r="11" s="1" customFormat="1" ht="16.5" spans="1:17">
      <c r="A11" s="7">
        <v>10</v>
      </c>
      <c r="B11" s="8" t="s">
        <v>15</v>
      </c>
      <c r="C11" s="18"/>
      <c r="D11" s="19"/>
      <c r="E11" s="15"/>
      <c r="F11" s="15" t="s">
        <v>48</v>
      </c>
      <c r="G11" s="12">
        <v>200</v>
      </c>
      <c r="H11" s="12">
        <v>200</v>
      </c>
      <c r="I11" s="12">
        <v>200</v>
      </c>
      <c r="J11" s="12">
        <v>80</v>
      </c>
      <c r="K11" s="12">
        <v>80</v>
      </c>
      <c r="L11" s="12">
        <v>100</v>
      </c>
      <c r="M11" s="12">
        <v>50</v>
      </c>
      <c r="N11" s="12">
        <v>50</v>
      </c>
      <c r="O11" s="12">
        <v>50</v>
      </c>
      <c r="P11" s="12">
        <v>50</v>
      </c>
      <c r="Q11" s="15"/>
    </row>
    <row r="12" s="1" customFormat="1" ht="16.5" spans="1:17">
      <c r="A12" s="7">
        <v>11</v>
      </c>
      <c r="B12" s="8" t="s">
        <v>15</v>
      </c>
      <c r="C12" s="18"/>
      <c r="D12" s="20"/>
      <c r="E12" s="15"/>
      <c r="F12" s="15" t="s">
        <v>49</v>
      </c>
      <c r="G12" s="12">
        <v>250</v>
      </c>
      <c r="H12" s="12">
        <v>250</v>
      </c>
      <c r="I12" s="12">
        <v>250</v>
      </c>
      <c r="J12" s="12">
        <v>80</v>
      </c>
      <c r="K12" s="12">
        <v>80</v>
      </c>
      <c r="L12" s="12">
        <v>150</v>
      </c>
      <c r="M12" s="12">
        <v>80</v>
      </c>
      <c r="N12" s="12">
        <v>80</v>
      </c>
      <c r="O12" s="12">
        <v>80</v>
      </c>
      <c r="P12" s="12">
        <v>80</v>
      </c>
      <c r="Q12" s="15"/>
    </row>
    <row r="13" ht="16.5" spans="1:17">
      <c r="A13" s="7">
        <v>12</v>
      </c>
      <c r="B13" s="8" t="s">
        <v>15</v>
      </c>
      <c r="C13" s="21"/>
      <c r="D13" s="14" t="s">
        <v>50</v>
      </c>
      <c r="E13" s="15"/>
      <c r="F13" s="15"/>
      <c r="G13" s="12">
        <v>150</v>
      </c>
      <c r="H13" s="12">
        <v>150</v>
      </c>
      <c r="I13" s="12">
        <v>150</v>
      </c>
      <c r="J13" s="12">
        <v>80</v>
      </c>
      <c r="K13" s="12">
        <v>80</v>
      </c>
      <c r="L13" s="12">
        <v>50</v>
      </c>
      <c r="M13" s="12">
        <v>50</v>
      </c>
      <c r="N13" s="12">
        <v>50</v>
      </c>
      <c r="O13" s="12">
        <v>50</v>
      </c>
      <c r="P13" s="12">
        <v>50</v>
      </c>
      <c r="Q13" s="15"/>
    </row>
    <row r="14" ht="49.5" spans="1:17">
      <c r="A14" s="7">
        <v>13</v>
      </c>
      <c r="B14" s="8" t="s">
        <v>15</v>
      </c>
      <c r="C14" s="9" t="s">
        <v>51</v>
      </c>
      <c r="D14" s="9" t="s">
        <v>52</v>
      </c>
      <c r="E14" s="10"/>
      <c r="F14" s="10"/>
      <c r="G14" s="12">
        <v>2</v>
      </c>
      <c r="H14" s="12">
        <v>2</v>
      </c>
      <c r="I14" s="12">
        <v>2</v>
      </c>
      <c r="J14" s="12">
        <v>2</v>
      </c>
      <c r="K14" s="12">
        <v>2</v>
      </c>
      <c r="L14" s="12">
        <v>2</v>
      </c>
      <c r="M14" s="12">
        <v>2</v>
      </c>
      <c r="N14" s="12">
        <v>2</v>
      </c>
      <c r="O14" s="12">
        <v>2</v>
      </c>
      <c r="P14" s="12">
        <v>2</v>
      </c>
      <c r="Q14" s="10"/>
    </row>
    <row r="15" ht="16.5" spans="1:17">
      <c r="A15" s="7">
        <v>14</v>
      </c>
      <c r="B15" s="8" t="s">
        <v>15</v>
      </c>
      <c r="C15" s="9" t="s">
        <v>53</v>
      </c>
      <c r="D15" s="9" t="s">
        <v>54</v>
      </c>
      <c r="E15" s="13"/>
      <c r="F15" s="13"/>
      <c r="G15" s="12">
        <v>200</v>
      </c>
      <c r="H15" s="12">
        <v>200</v>
      </c>
      <c r="I15" s="12">
        <v>200</v>
      </c>
      <c r="J15" s="12">
        <v>200</v>
      </c>
      <c r="K15" s="12">
        <v>200</v>
      </c>
      <c r="L15" s="12">
        <v>200</v>
      </c>
      <c r="M15" s="12">
        <v>200</v>
      </c>
      <c r="N15" s="12">
        <v>200</v>
      </c>
      <c r="O15" s="12">
        <v>200</v>
      </c>
      <c r="P15" s="12">
        <v>200</v>
      </c>
      <c r="Q15" s="13" t="s">
        <v>11</v>
      </c>
    </row>
    <row r="16" ht="66" spans="1:17">
      <c r="A16" s="7">
        <v>15</v>
      </c>
      <c r="B16" s="8" t="s">
        <v>15</v>
      </c>
      <c r="C16" s="9" t="s">
        <v>55</v>
      </c>
      <c r="D16" s="9" t="s">
        <v>56</v>
      </c>
      <c r="E16" s="10"/>
      <c r="F16" s="10"/>
      <c r="G16" s="12">
        <v>3</v>
      </c>
      <c r="H16" s="12">
        <v>3</v>
      </c>
      <c r="I16" s="12">
        <v>3</v>
      </c>
      <c r="J16" s="12">
        <v>3</v>
      </c>
      <c r="K16" s="12">
        <v>3</v>
      </c>
      <c r="L16" s="12">
        <v>3</v>
      </c>
      <c r="M16" s="12">
        <v>3</v>
      </c>
      <c r="N16" s="12">
        <v>3</v>
      </c>
      <c r="O16" s="12">
        <v>3</v>
      </c>
      <c r="P16" s="12">
        <v>3</v>
      </c>
      <c r="Q16" s="13"/>
    </row>
    <row r="17" ht="16.5" spans="1:17">
      <c r="A17" s="7">
        <v>16</v>
      </c>
      <c r="B17" s="8" t="s">
        <v>15</v>
      </c>
      <c r="C17" s="9"/>
      <c r="D17" s="9" t="s">
        <v>57</v>
      </c>
      <c r="E17" s="13"/>
      <c r="F17" s="13"/>
      <c r="G17" s="12">
        <v>1800</v>
      </c>
      <c r="H17" s="12">
        <v>1800</v>
      </c>
      <c r="I17" s="12">
        <v>1800</v>
      </c>
      <c r="J17" s="12">
        <v>1800</v>
      </c>
      <c r="K17" s="12">
        <v>1800</v>
      </c>
      <c r="L17" s="12">
        <v>1800</v>
      </c>
      <c r="M17" s="12">
        <v>1800</v>
      </c>
      <c r="N17" s="12">
        <v>1800</v>
      </c>
      <c r="O17" s="12">
        <v>1800</v>
      </c>
      <c r="P17" s="12">
        <v>1800</v>
      </c>
      <c r="Q17" s="13" t="s">
        <v>11</v>
      </c>
    </row>
    <row r="18" ht="16.5" spans="1:17">
      <c r="A18" s="7">
        <v>17</v>
      </c>
      <c r="B18" s="8" t="s">
        <v>15</v>
      </c>
      <c r="C18" s="9" t="s">
        <v>58</v>
      </c>
      <c r="D18" s="9" t="s">
        <v>59</v>
      </c>
      <c r="E18" s="13"/>
      <c r="F18" s="13"/>
      <c r="G18" s="12" t="s">
        <v>60</v>
      </c>
      <c r="H18" s="12" t="s">
        <v>60</v>
      </c>
      <c r="I18" s="12" t="s">
        <v>60</v>
      </c>
      <c r="J18" s="12" t="s">
        <v>60</v>
      </c>
      <c r="K18" s="12" t="s">
        <v>60</v>
      </c>
      <c r="L18" s="12" t="s">
        <v>60</v>
      </c>
      <c r="M18" s="12" t="s">
        <v>60</v>
      </c>
      <c r="N18" s="12" t="s">
        <v>60</v>
      </c>
      <c r="O18" s="12" t="s">
        <v>60</v>
      </c>
      <c r="P18" s="12" t="s">
        <v>60</v>
      </c>
      <c r="Q18" s="13"/>
    </row>
    <row r="19" ht="49.5" spans="1:17">
      <c r="A19" s="7">
        <v>18</v>
      </c>
      <c r="B19" s="8" t="s">
        <v>15</v>
      </c>
      <c r="C19" s="9" t="s">
        <v>61</v>
      </c>
      <c r="D19" s="14" t="s">
        <v>62</v>
      </c>
      <c r="E19" s="13"/>
      <c r="F19" s="13"/>
      <c r="G19" s="22">
        <v>3</v>
      </c>
      <c r="H19" s="22">
        <v>3</v>
      </c>
      <c r="I19" s="22">
        <v>3</v>
      </c>
      <c r="J19" s="12">
        <v>3</v>
      </c>
      <c r="K19" s="12">
        <v>3</v>
      </c>
      <c r="L19" s="12">
        <v>3</v>
      </c>
      <c r="M19" s="12">
        <v>3</v>
      </c>
      <c r="N19" s="12">
        <v>3</v>
      </c>
      <c r="O19" s="12">
        <v>3</v>
      </c>
      <c r="P19" s="12">
        <v>3</v>
      </c>
      <c r="Q19" s="13"/>
    </row>
    <row r="20" ht="16.5" spans="1:17">
      <c r="A20" s="7">
        <v>19</v>
      </c>
      <c r="B20" s="8" t="s">
        <v>15</v>
      </c>
      <c r="C20" s="23"/>
      <c r="D20" s="14" t="s">
        <v>63</v>
      </c>
      <c r="E20" s="13"/>
      <c r="F20" s="13"/>
      <c r="G20" s="12">
        <v>500</v>
      </c>
      <c r="H20" s="22">
        <v>5000</v>
      </c>
      <c r="I20" s="22">
        <v>9000</v>
      </c>
      <c r="J20" s="22">
        <v>8000</v>
      </c>
      <c r="K20" s="22">
        <v>7000</v>
      </c>
      <c r="L20" s="22">
        <v>4000</v>
      </c>
      <c r="M20" s="12">
        <v>8000</v>
      </c>
      <c r="N20" s="12">
        <v>8000</v>
      </c>
      <c r="O20" s="12">
        <v>7000</v>
      </c>
      <c r="P20" s="12">
        <v>7000</v>
      </c>
      <c r="Q20" s="13" t="s">
        <v>11</v>
      </c>
    </row>
    <row r="21" ht="16.5" spans="1:17">
      <c r="A21" s="7">
        <v>20</v>
      </c>
      <c r="B21" s="8" t="s">
        <v>15</v>
      </c>
      <c r="C21" s="9"/>
      <c r="D21" s="9" t="s">
        <v>64</v>
      </c>
      <c r="E21" s="13"/>
      <c r="F21" s="13"/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0" t="s">
        <v>65</v>
      </c>
    </row>
    <row r="22" ht="16.5" spans="1:17">
      <c r="A22" s="7">
        <v>21</v>
      </c>
      <c r="B22" s="8" t="s">
        <v>15</v>
      </c>
      <c r="C22" s="9"/>
      <c r="D22" s="9" t="s">
        <v>66</v>
      </c>
      <c r="E22" s="13"/>
      <c r="F22" s="13"/>
      <c r="G22" s="12">
        <v>0</v>
      </c>
      <c r="H22" s="12">
        <v>0</v>
      </c>
      <c r="I22" s="12">
        <v>180</v>
      </c>
      <c r="J22" s="12">
        <v>180</v>
      </c>
      <c r="K22" s="12">
        <v>0</v>
      </c>
      <c r="L22" s="12">
        <v>0</v>
      </c>
      <c r="M22" s="12">
        <v>90</v>
      </c>
      <c r="N22" s="12">
        <v>90</v>
      </c>
      <c r="O22" s="12">
        <v>0</v>
      </c>
      <c r="P22" s="12">
        <v>90</v>
      </c>
      <c r="Q22" s="10" t="s">
        <v>65</v>
      </c>
    </row>
    <row r="23" ht="49.5" spans="1:17">
      <c r="A23" s="7">
        <v>22</v>
      </c>
      <c r="B23" s="8" t="s">
        <v>15</v>
      </c>
      <c r="C23" s="9" t="s">
        <v>67</v>
      </c>
      <c r="D23" s="9" t="s">
        <v>68</v>
      </c>
      <c r="E23" s="13"/>
      <c r="F23" s="13"/>
      <c r="G23" s="12">
        <v>3</v>
      </c>
      <c r="H23" s="12">
        <v>3</v>
      </c>
      <c r="I23" s="12">
        <v>3</v>
      </c>
      <c r="J23" s="12">
        <v>3</v>
      </c>
      <c r="K23" s="12">
        <v>3</v>
      </c>
      <c r="L23" s="12">
        <v>3</v>
      </c>
      <c r="M23" s="12">
        <v>2</v>
      </c>
      <c r="N23" s="12">
        <v>2</v>
      </c>
      <c r="O23" s="12">
        <v>3</v>
      </c>
      <c r="P23" s="12">
        <v>2</v>
      </c>
      <c r="Q23" s="10"/>
    </row>
    <row r="24" ht="16.5" spans="1:17">
      <c r="A24" s="7">
        <v>23</v>
      </c>
      <c r="B24" s="8" t="s">
        <v>15</v>
      </c>
      <c r="C24" s="9"/>
      <c r="D24" s="9" t="s">
        <v>69</v>
      </c>
      <c r="E24" s="13"/>
      <c r="F24" s="13"/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600</v>
      </c>
      <c r="N24" s="12">
        <v>-600</v>
      </c>
      <c r="O24" s="12">
        <v>0</v>
      </c>
      <c r="P24" s="12">
        <v>-600</v>
      </c>
      <c r="Q24" s="13" t="s">
        <v>11</v>
      </c>
    </row>
    <row r="25" ht="49.5" spans="1:17">
      <c r="A25" s="7">
        <v>24</v>
      </c>
      <c r="B25" s="8" t="s">
        <v>15</v>
      </c>
      <c r="C25" s="9" t="s">
        <v>70</v>
      </c>
      <c r="D25" s="9" t="s">
        <v>71</v>
      </c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</row>
    <row r="26" s="1" customFormat="1" ht="16.5" spans="1:17">
      <c r="A26" s="7">
        <v>25</v>
      </c>
      <c r="B26" s="8" t="s">
        <v>72</v>
      </c>
      <c r="C26" s="14" t="s">
        <v>9</v>
      </c>
      <c r="D26" s="14" t="s">
        <v>73</v>
      </c>
      <c r="E26" s="24"/>
      <c r="F26" s="24"/>
      <c r="G26" s="11">
        <v>5000</v>
      </c>
      <c r="H26" s="12"/>
      <c r="I26" s="12"/>
      <c r="J26" s="12"/>
      <c r="K26" s="12"/>
      <c r="L26" s="12"/>
      <c r="M26" s="12"/>
      <c r="N26" s="12"/>
      <c r="O26" s="12"/>
      <c r="P26" s="12"/>
      <c r="Q26" s="13" t="s">
        <v>11</v>
      </c>
    </row>
    <row r="27" s="1" customFormat="1" ht="16.5" spans="1:17">
      <c r="A27" s="7">
        <v>26</v>
      </c>
      <c r="B27" s="8" t="s">
        <v>74</v>
      </c>
      <c r="C27" s="14" t="s">
        <v>13</v>
      </c>
      <c r="D27" s="14" t="s">
        <v>75</v>
      </c>
      <c r="E27" s="24"/>
      <c r="F27" s="24"/>
      <c r="G27" s="11">
        <v>900</v>
      </c>
      <c r="H27" s="12"/>
      <c r="I27" s="12"/>
      <c r="J27" s="12"/>
      <c r="K27" s="12"/>
      <c r="L27" s="12"/>
      <c r="M27" s="12"/>
      <c r="N27" s="12"/>
      <c r="O27" s="12"/>
      <c r="P27" s="12"/>
      <c r="Q27" s="13" t="s">
        <v>11</v>
      </c>
    </row>
    <row r="28" ht="16.5" spans="1:17">
      <c r="A28" s="25">
        <v>1</v>
      </c>
      <c r="B28" s="26" t="s">
        <v>76</v>
      </c>
      <c r="C28" s="9" t="s">
        <v>77</v>
      </c>
      <c r="D28" s="9" t="s">
        <v>0</v>
      </c>
      <c r="E28" s="13"/>
      <c r="F28" s="13"/>
      <c r="G28" s="25">
        <v>1</v>
      </c>
      <c r="H28" s="25">
        <v>2</v>
      </c>
      <c r="I28" s="25">
        <v>3</v>
      </c>
      <c r="J28" s="25">
        <v>4</v>
      </c>
      <c r="K28" s="25">
        <v>5</v>
      </c>
      <c r="L28" s="25">
        <v>6</v>
      </c>
      <c r="M28" s="25">
        <v>7</v>
      </c>
      <c r="N28" s="25">
        <v>8</v>
      </c>
      <c r="O28" s="25">
        <v>9</v>
      </c>
      <c r="P28" s="25">
        <v>10</v>
      </c>
      <c r="Q28" s="13"/>
    </row>
    <row r="29" ht="16.5" spans="1:17">
      <c r="A29" s="25">
        <v>2</v>
      </c>
      <c r="B29" s="26" t="s">
        <v>76</v>
      </c>
      <c r="C29" s="9"/>
      <c r="D29" s="9" t="s">
        <v>19</v>
      </c>
      <c r="E29" s="13"/>
      <c r="F29" s="13"/>
      <c r="G29" s="25" t="str">
        <f t="shared" ref="G29:P29" si="0">G5</f>
        <v>N1</v>
      </c>
      <c r="H29" s="25" t="str">
        <f t="shared" si="0"/>
        <v>N2</v>
      </c>
      <c r="I29" s="25" t="str">
        <f t="shared" si="0"/>
        <v>N3</v>
      </c>
      <c r="J29" s="25" t="str">
        <f t="shared" si="0"/>
        <v>N4</v>
      </c>
      <c r="K29" s="25" t="str">
        <f t="shared" si="0"/>
        <v>N5</v>
      </c>
      <c r="L29" s="25" t="str">
        <f t="shared" si="0"/>
        <v>N6</v>
      </c>
      <c r="M29" s="25" t="str">
        <f t="shared" si="0"/>
        <v>N7</v>
      </c>
      <c r="N29" s="25" t="str">
        <f t="shared" si="0"/>
        <v>N8</v>
      </c>
      <c r="O29" s="25" t="str">
        <f t="shared" si="0"/>
        <v>N9</v>
      </c>
      <c r="P29" s="25" t="str">
        <f t="shared" si="0"/>
        <v>N10</v>
      </c>
      <c r="Q29" s="13"/>
    </row>
    <row r="30" ht="16.5" spans="1:17">
      <c r="A30" s="25">
        <v>3</v>
      </c>
      <c r="B30" s="26" t="s">
        <v>76</v>
      </c>
      <c r="C30" s="9"/>
      <c r="D30" s="14" t="s">
        <v>78</v>
      </c>
      <c r="E30" s="13"/>
      <c r="F30" s="13"/>
      <c r="G30" s="25" t="str">
        <f>G6</f>
        <v>介质入口</v>
      </c>
      <c r="H30" s="25" t="str">
        <f t="shared" ref="H30:P30" si="1">H6</f>
        <v>气相出口</v>
      </c>
      <c r="I30" s="25" t="str">
        <f t="shared" si="1"/>
        <v>液相出口</v>
      </c>
      <c r="J30" s="25" t="str">
        <f t="shared" si="1"/>
        <v>排污口</v>
      </c>
      <c r="K30" s="25" t="str">
        <f t="shared" si="1"/>
        <v>放空口</v>
      </c>
      <c r="L30" s="25" t="str">
        <f t="shared" si="1"/>
        <v>安全阀口</v>
      </c>
      <c r="M30" s="25" t="str">
        <f t="shared" si="1"/>
        <v>液位计口1</v>
      </c>
      <c r="N30" s="25" t="str">
        <f t="shared" si="1"/>
        <v>液位计口2</v>
      </c>
      <c r="O30" s="25" t="str">
        <f t="shared" si="1"/>
        <v>压力表口</v>
      </c>
      <c r="P30" s="25" t="str">
        <f t="shared" si="1"/>
        <v>温度计口</v>
      </c>
      <c r="Q30" s="13"/>
    </row>
    <row r="31" ht="16.5" spans="1:17">
      <c r="A31" s="25">
        <v>4</v>
      </c>
      <c r="B31" s="26" t="s">
        <v>76</v>
      </c>
      <c r="C31" s="9" t="s">
        <v>79</v>
      </c>
      <c r="D31" s="9" t="s">
        <v>30</v>
      </c>
      <c r="E31" s="13"/>
      <c r="F31" s="13"/>
      <c r="G31" s="25" t="s">
        <v>80</v>
      </c>
      <c r="H31" s="25" t="s">
        <v>80</v>
      </c>
      <c r="I31" s="25" t="s">
        <v>80</v>
      </c>
      <c r="J31" s="25" t="s">
        <v>80</v>
      </c>
      <c r="K31" s="25" t="s">
        <v>80</v>
      </c>
      <c r="L31" s="25" t="s">
        <v>80</v>
      </c>
      <c r="M31" s="25" t="s">
        <v>80</v>
      </c>
      <c r="N31" s="25" t="s">
        <v>80</v>
      </c>
      <c r="O31" s="25" t="s">
        <v>80</v>
      </c>
      <c r="P31" s="25" t="s">
        <v>80</v>
      </c>
      <c r="Q31" s="13"/>
    </row>
    <row r="32" ht="16.5" spans="1:17">
      <c r="A32" s="25">
        <v>5</v>
      </c>
      <c r="B32" s="26" t="s">
        <v>76</v>
      </c>
      <c r="C32" s="9"/>
      <c r="D32" s="9" t="s">
        <v>81</v>
      </c>
      <c r="E32" s="15" t="s">
        <v>82</v>
      </c>
      <c r="F32" s="13"/>
      <c r="G32" s="25">
        <f>IF(G7=1,IF($G$27&lt;=$E$8,G8,IF($G$27&lt;=$E$9,G9,IF($G$27&lt;=$E$10,G10,IF($G$27&lt;=$E$11,G11,G12)))),IF(G7=2,G13))</f>
        <v>250</v>
      </c>
      <c r="H32" s="25">
        <f t="shared" ref="H32:P32" si="2">IF(H7=1,IF($G$27&lt;=$E$8,H8,IF($G$27&lt;=$E$9,H9,IF($G$27&lt;=$E$10,H10,IF($G$27&lt;=$E$11,H11,H12)))),IF(H7=2,H13))</f>
        <v>250</v>
      </c>
      <c r="I32" s="25">
        <f t="shared" si="2"/>
        <v>250</v>
      </c>
      <c r="J32" s="25">
        <f t="shared" si="2"/>
        <v>80</v>
      </c>
      <c r="K32" s="25">
        <f t="shared" si="2"/>
        <v>80</v>
      </c>
      <c r="L32" s="25">
        <f t="shared" si="2"/>
        <v>150</v>
      </c>
      <c r="M32" s="25">
        <f t="shared" si="2"/>
        <v>50</v>
      </c>
      <c r="N32" s="25">
        <f t="shared" ref="N32" si="3">IF(N7=1,IF($G$27&lt;=$E$8,N8,IF($G$27&lt;=$E$9,N9,IF($G$27&lt;=$E$10,N10,IF($G$27&lt;=$E$11,N11,N12)))),IF(N7=2,N13))</f>
        <v>50</v>
      </c>
      <c r="O32" s="25">
        <f t="shared" si="2"/>
        <v>50</v>
      </c>
      <c r="P32" s="25">
        <f t="shared" si="2"/>
        <v>50</v>
      </c>
      <c r="Q32" s="13"/>
    </row>
    <row r="33" ht="16.5" spans="1:18">
      <c r="A33" s="25">
        <v>6</v>
      </c>
      <c r="B33" s="26" t="s">
        <v>76</v>
      </c>
      <c r="C33" s="9" t="s">
        <v>83</v>
      </c>
      <c r="D33" s="9" t="s">
        <v>84</v>
      </c>
      <c r="E33" s="15"/>
      <c r="F33" s="13"/>
      <c r="G33" s="27" t="s">
        <v>85</v>
      </c>
      <c r="H33" s="27" t="s">
        <v>85</v>
      </c>
      <c r="I33" s="27" t="s">
        <v>85</v>
      </c>
      <c r="J33" s="27" t="s">
        <v>85</v>
      </c>
      <c r="K33" s="27" t="s">
        <v>85</v>
      </c>
      <c r="L33" s="27" t="s">
        <v>85</v>
      </c>
      <c r="M33" s="27" t="s">
        <v>85</v>
      </c>
      <c r="N33" s="27" t="s">
        <v>85</v>
      </c>
      <c r="O33" s="27" t="s">
        <v>85</v>
      </c>
      <c r="P33" s="27" t="s">
        <v>85</v>
      </c>
      <c r="Q33" s="13"/>
    </row>
    <row r="34" ht="16.5" customHeight="1" spans="1:18">
      <c r="A34" s="25">
        <v>7</v>
      </c>
      <c r="B34" s="26" t="s">
        <v>76</v>
      </c>
      <c r="C34" s="9" t="s">
        <v>83</v>
      </c>
      <c r="D34" s="9" t="s">
        <v>86</v>
      </c>
      <c r="E34" s="15" t="s">
        <v>87</v>
      </c>
      <c r="F34" s="13"/>
      <c r="G34" s="27">
        <v>150</v>
      </c>
      <c r="H34" s="27">
        <v>150</v>
      </c>
      <c r="I34" s="27">
        <v>150</v>
      </c>
      <c r="J34" s="27">
        <v>150</v>
      </c>
      <c r="K34" s="27">
        <v>150</v>
      </c>
      <c r="L34" s="27">
        <v>150</v>
      </c>
      <c r="M34" s="27">
        <v>150</v>
      </c>
      <c r="N34" s="27">
        <v>150</v>
      </c>
      <c r="O34" s="27">
        <v>150</v>
      </c>
      <c r="P34" s="27">
        <v>150</v>
      </c>
      <c r="Q34" s="13"/>
    </row>
    <row r="35" ht="16.5" spans="1:18">
      <c r="A35" s="25">
        <v>8</v>
      </c>
      <c r="B35" s="26" t="s">
        <v>76</v>
      </c>
      <c r="C35" s="9" t="s">
        <v>83</v>
      </c>
      <c r="D35" s="9" t="s">
        <v>88</v>
      </c>
      <c r="E35" s="15"/>
      <c r="F35" s="13"/>
      <c r="G35" s="27" t="s">
        <v>89</v>
      </c>
      <c r="H35" s="27" t="s">
        <v>89</v>
      </c>
      <c r="I35" s="27" t="s">
        <v>89</v>
      </c>
      <c r="J35" s="27" t="s">
        <v>89</v>
      </c>
      <c r="K35" s="27" t="s">
        <v>89</v>
      </c>
      <c r="L35" s="27" t="s">
        <v>89</v>
      </c>
      <c r="M35" s="27" t="s">
        <v>89</v>
      </c>
      <c r="N35" s="27" t="s">
        <v>89</v>
      </c>
      <c r="O35" s="27" t="s">
        <v>89</v>
      </c>
      <c r="P35" s="27" t="s">
        <v>89</v>
      </c>
      <c r="Q35" s="13"/>
    </row>
    <row r="36" ht="16.5" spans="1:18">
      <c r="A36" s="25">
        <v>9</v>
      </c>
      <c r="B36" s="26" t="s">
        <v>76</v>
      </c>
      <c r="C36" s="9" t="s">
        <v>83</v>
      </c>
      <c r="D36" s="9" t="s">
        <v>90</v>
      </c>
      <c r="E36" s="15"/>
      <c r="F36" s="13"/>
      <c r="G36" s="27" t="s">
        <v>91</v>
      </c>
      <c r="H36" s="27" t="s">
        <v>91</v>
      </c>
      <c r="I36" s="27" t="s">
        <v>91</v>
      </c>
      <c r="J36" s="27" t="s">
        <v>91</v>
      </c>
      <c r="K36" s="27" t="s">
        <v>91</v>
      </c>
      <c r="L36" s="27" t="s">
        <v>91</v>
      </c>
      <c r="M36" s="27" t="s">
        <v>91</v>
      </c>
      <c r="N36" s="27" t="s">
        <v>91</v>
      </c>
      <c r="O36" s="27" t="s">
        <v>91</v>
      </c>
      <c r="P36" s="27" t="s">
        <v>91</v>
      </c>
      <c r="Q36" s="13"/>
    </row>
    <row r="37" ht="16.5" spans="1:18">
      <c r="A37" s="25">
        <v>10</v>
      </c>
      <c r="B37" s="26" t="s">
        <v>76</v>
      </c>
      <c r="C37" s="9" t="s">
        <v>83</v>
      </c>
      <c r="D37" s="9" t="s">
        <v>92</v>
      </c>
      <c r="E37" s="15" t="s">
        <v>11</v>
      </c>
      <c r="F37" s="13"/>
      <c r="G37" s="27" t="s">
        <v>93</v>
      </c>
      <c r="H37" s="27" t="s">
        <v>93</v>
      </c>
      <c r="I37" s="27" t="s">
        <v>93</v>
      </c>
      <c r="J37" s="27" t="s">
        <v>93</v>
      </c>
      <c r="K37" s="27" t="s">
        <v>93</v>
      </c>
      <c r="L37" s="27" t="s">
        <v>93</v>
      </c>
      <c r="M37" s="27" t="s">
        <v>93</v>
      </c>
      <c r="N37" s="27" t="s">
        <v>93</v>
      </c>
      <c r="O37" s="27" t="s">
        <v>93</v>
      </c>
      <c r="P37" s="27" t="s">
        <v>93</v>
      </c>
      <c r="Q37" s="13"/>
    </row>
    <row r="38" ht="16.5" spans="1:18">
      <c r="A38" s="25">
        <v>11</v>
      </c>
      <c r="B38" s="26" t="s">
        <v>76</v>
      </c>
      <c r="C38" s="9" t="s">
        <v>83</v>
      </c>
      <c r="D38" s="9" t="s">
        <v>94</v>
      </c>
      <c r="E38" s="13"/>
      <c r="F38" s="13"/>
      <c r="G38" s="27" t="s">
        <v>95</v>
      </c>
      <c r="H38" s="27" t="s">
        <v>95</v>
      </c>
      <c r="I38" s="27" t="s">
        <v>95</v>
      </c>
      <c r="J38" s="27" t="s">
        <v>95</v>
      </c>
      <c r="K38" s="27" t="s">
        <v>95</v>
      </c>
      <c r="L38" s="27" t="s">
        <v>95</v>
      </c>
      <c r="M38" s="27" t="s">
        <v>95</v>
      </c>
      <c r="N38" s="27" t="s">
        <v>95</v>
      </c>
      <c r="O38" s="27" t="s">
        <v>95</v>
      </c>
      <c r="P38" s="27" t="s">
        <v>95</v>
      </c>
      <c r="Q38" s="13"/>
    </row>
    <row r="39" ht="16.5" spans="1:18">
      <c r="A39" s="25">
        <v>12</v>
      </c>
      <c r="B39" s="26" t="s">
        <v>76</v>
      </c>
      <c r="C39" s="9"/>
      <c r="D39" s="9" t="s">
        <v>59</v>
      </c>
      <c r="E39" s="13"/>
      <c r="F39" s="13"/>
      <c r="G39" s="25" t="str">
        <f t="shared" ref="G39:P39" si="4">G18</f>
        <v>左基准线</v>
      </c>
      <c r="H39" s="25" t="str">
        <f t="shared" si="4"/>
        <v>左基准线</v>
      </c>
      <c r="I39" s="25" t="str">
        <f t="shared" si="4"/>
        <v>左基准线</v>
      </c>
      <c r="J39" s="25" t="str">
        <f t="shared" si="4"/>
        <v>左基准线</v>
      </c>
      <c r="K39" s="25" t="str">
        <f t="shared" si="4"/>
        <v>左基准线</v>
      </c>
      <c r="L39" s="25" t="str">
        <f t="shared" si="4"/>
        <v>左基准线</v>
      </c>
      <c r="M39" s="25" t="str">
        <f t="shared" si="4"/>
        <v>左基准线</v>
      </c>
      <c r="N39" s="25" t="str">
        <f t="shared" si="4"/>
        <v>左基准线</v>
      </c>
      <c r="O39" s="25" t="str">
        <f t="shared" si="4"/>
        <v>左基准线</v>
      </c>
      <c r="P39" s="25" t="str">
        <f t="shared" si="4"/>
        <v>左基准线</v>
      </c>
      <c r="Q39" s="13"/>
    </row>
    <row r="40" ht="16.5" spans="1:18">
      <c r="A40" s="25">
        <v>13</v>
      </c>
      <c r="B40" s="26" t="s">
        <v>76</v>
      </c>
      <c r="C40" s="9"/>
      <c r="D40" s="14" t="s">
        <v>96</v>
      </c>
      <c r="E40" s="13"/>
      <c r="F40" s="13"/>
      <c r="G40" s="25">
        <f t="shared" ref="G40:P40" si="5">IF(G19=1,G20,IF(G19=2,"程序推荐",G20*$G$26/$G$2))</f>
        <v>250</v>
      </c>
      <c r="H40" s="25">
        <f t="shared" si="5"/>
        <v>2500</v>
      </c>
      <c r="I40" s="25">
        <f t="shared" si="5"/>
        <v>4500</v>
      </c>
      <c r="J40" s="25">
        <f t="shared" si="5"/>
        <v>4000</v>
      </c>
      <c r="K40" s="25">
        <f t="shared" si="5"/>
        <v>3500</v>
      </c>
      <c r="L40" s="25">
        <f t="shared" si="5"/>
        <v>2000</v>
      </c>
      <c r="M40" s="25">
        <f t="shared" si="5"/>
        <v>4000</v>
      </c>
      <c r="N40" s="25">
        <f t="shared" si="5"/>
        <v>4000</v>
      </c>
      <c r="O40" s="25">
        <f t="shared" si="5"/>
        <v>3500</v>
      </c>
      <c r="P40" s="25">
        <f t="shared" si="5"/>
        <v>3500</v>
      </c>
      <c r="Q40" s="13" t="s">
        <v>11</v>
      </c>
    </row>
    <row r="41" ht="16.5" spans="1:18">
      <c r="A41" s="25">
        <v>14</v>
      </c>
      <c r="B41" s="26" t="s">
        <v>76</v>
      </c>
      <c r="C41" s="9"/>
      <c r="D41" s="9" t="s">
        <v>97</v>
      </c>
      <c r="E41" s="13"/>
      <c r="F41" s="13"/>
      <c r="G41" s="25">
        <f t="shared" ref="G41:P41" si="6">G21</f>
        <v>0</v>
      </c>
      <c r="H41" s="25">
        <f t="shared" si="6"/>
        <v>0</v>
      </c>
      <c r="I41" s="25">
        <f t="shared" si="6"/>
        <v>0</v>
      </c>
      <c r="J41" s="25">
        <f t="shared" si="6"/>
        <v>0</v>
      </c>
      <c r="K41" s="25">
        <f t="shared" si="6"/>
        <v>0</v>
      </c>
      <c r="L41" s="25">
        <f t="shared" si="6"/>
        <v>0</v>
      </c>
      <c r="M41" s="25">
        <f t="shared" si="6"/>
        <v>0</v>
      </c>
      <c r="N41" s="25">
        <f t="shared" si="6"/>
        <v>0</v>
      </c>
      <c r="O41" s="25">
        <f t="shared" si="6"/>
        <v>0</v>
      </c>
      <c r="P41" s="25">
        <f t="shared" si="6"/>
        <v>0</v>
      </c>
      <c r="Q41" s="10" t="s">
        <v>65</v>
      </c>
    </row>
    <row r="42" ht="16.5" spans="1:18">
      <c r="A42" s="25">
        <v>15</v>
      </c>
      <c r="B42" s="26" t="s">
        <v>76</v>
      </c>
      <c r="C42" s="9"/>
      <c r="D42" s="9" t="s">
        <v>98</v>
      </c>
      <c r="E42" s="13"/>
      <c r="F42" s="13"/>
      <c r="G42" s="25">
        <f>G22</f>
        <v>0</v>
      </c>
      <c r="H42" s="25">
        <f t="shared" ref="H42:P42" si="7">H22</f>
        <v>0</v>
      </c>
      <c r="I42" s="25">
        <f t="shared" si="7"/>
        <v>180</v>
      </c>
      <c r="J42" s="25">
        <f t="shared" si="7"/>
        <v>180</v>
      </c>
      <c r="K42" s="25">
        <f t="shared" si="7"/>
        <v>0</v>
      </c>
      <c r="L42" s="25">
        <f t="shared" si="7"/>
        <v>0</v>
      </c>
      <c r="M42" s="25">
        <f t="shared" si="7"/>
        <v>90</v>
      </c>
      <c r="N42" s="25">
        <f t="shared" si="7"/>
        <v>90</v>
      </c>
      <c r="O42" s="25">
        <f t="shared" si="7"/>
        <v>0</v>
      </c>
      <c r="P42" s="25">
        <f t="shared" si="7"/>
        <v>90</v>
      </c>
      <c r="Q42" s="10" t="s">
        <v>65</v>
      </c>
    </row>
    <row r="43" ht="16.5" spans="1:18">
      <c r="A43" s="25">
        <v>16</v>
      </c>
      <c r="B43" s="26" t="s">
        <v>76</v>
      </c>
      <c r="C43" s="9"/>
      <c r="D43" s="14" t="s">
        <v>99</v>
      </c>
      <c r="E43" s="13"/>
      <c r="F43" s="13"/>
      <c r="G43" s="25">
        <f>IF(G23=1,G24,IF(G23=2,G24*$G$27/$G$3,0))</f>
        <v>0</v>
      </c>
      <c r="H43" s="25">
        <f t="shared" ref="H43:P43" si="8">IF(H23=1,H24,IF(H23=2,H24*$G$27/$G$3,0))</f>
        <v>0</v>
      </c>
      <c r="I43" s="25">
        <f t="shared" si="8"/>
        <v>0</v>
      </c>
      <c r="J43" s="25">
        <f t="shared" si="8"/>
        <v>0</v>
      </c>
      <c r="K43" s="25">
        <f t="shared" si="8"/>
        <v>0</v>
      </c>
      <c r="L43" s="25">
        <f t="shared" si="8"/>
        <v>0</v>
      </c>
      <c r="M43" s="25">
        <f t="shared" si="8"/>
        <v>270</v>
      </c>
      <c r="N43" s="25">
        <f t="shared" si="8"/>
        <v>-270</v>
      </c>
      <c r="O43" s="25">
        <f t="shared" si="8"/>
        <v>0</v>
      </c>
      <c r="P43" s="25">
        <f t="shared" si="8"/>
        <v>-270</v>
      </c>
      <c r="Q43" s="13" t="s">
        <v>11</v>
      </c>
    </row>
    <row r="44" ht="16.5" spans="1:18">
      <c r="A44" s="25">
        <v>17</v>
      </c>
      <c r="B44" s="26" t="s">
        <v>76</v>
      </c>
      <c r="C44" s="9"/>
      <c r="D44" s="9" t="s">
        <v>100</v>
      </c>
      <c r="E44" s="13"/>
      <c r="F44" s="13"/>
      <c r="G44" s="25" t="str">
        <f t="shared" ref="G44:P44" si="9">IF(G14=1,(G15+$G$27/2),"程序推荐")</f>
        <v>程序推荐</v>
      </c>
      <c r="H44" s="25" t="str">
        <f t="shared" si="9"/>
        <v>程序推荐</v>
      </c>
      <c r="I44" s="25" t="str">
        <f t="shared" si="9"/>
        <v>程序推荐</v>
      </c>
      <c r="J44" s="25" t="str">
        <f t="shared" si="9"/>
        <v>程序推荐</v>
      </c>
      <c r="K44" s="25" t="str">
        <f t="shared" si="9"/>
        <v>程序推荐</v>
      </c>
      <c r="L44" s="25" t="str">
        <f t="shared" si="9"/>
        <v>程序推荐</v>
      </c>
      <c r="M44" s="25" t="str">
        <f t="shared" si="9"/>
        <v>程序推荐</v>
      </c>
      <c r="N44" s="25" t="str">
        <f t="shared" si="9"/>
        <v>程序推荐</v>
      </c>
      <c r="O44" s="25" t="str">
        <f t="shared" si="9"/>
        <v>程序推荐</v>
      </c>
      <c r="P44" s="25" t="str">
        <f t="shared" si="9"/>
        <v>程序推荐</v>
      </c>
      <c r="Q44" s="13" t="s">
        <v>11</v>
      </c>
    </row>
    <row r="45" s="1" customFormat="1" ht="16.5" spans="1:18">
      <c r="A45" s="25">
        <v>18</v>
      </c>
      <c r="B45" s="26" t="s">
        <v>76</v>
      </c>
      <c r="C45" s="14"/>
      <c r="D45" s="14" t="s">
        <v>101</v>
      </c>
      <c r="E45" s="15"/>
      <c r="F45" s="15"/>
      <c r="G45" s="25">
        <f>IF(G16=1,$G$27-$G$3+G17,IF(G16=2,G17*$G$27/$G$3,0))</f>
        <v>0</v>
      </c>
      <c r="H45" s="25">
        <f>IF(H16=1,$G$27-$G$3+H17,IF(H16=2,H17*$G$27/$G$3,0))</f>
        <v>0</v>
      </c>
      <c r="I45" s="25">
        <f t="shared" ref="I45:P45" si="10">IF(I16=1,$G$27-$G$3+I17,IF(I16=2,I17*$G$27/$G$3,0))</f>
        <v>0</v>
      </c>
      <c r="J45" s="25">
        <f t="shared" si="10"/>
        <v>0</v>
      </c>
      <c r="K45" s="25">
        <f t="shared" si="10"/>
        <v>0</v>
      </c>
      <c r="L45" s="25">
        <f t="shared" si="10"/>
        <v>0</v>
      </c>
      <c r="M45" s="25">
        <f t="shared" si="10"/>
        <v>0</v>
      </c>
      <c r="N45" s="25">
        <f t="shared" si="10"/>
        <v>0</v>
      </c>
      <c r="O45" s="25">
        <f t="shared" si="10"/>
        <v>0</v>
      </c>
      <c r="P45" s="25">
        <f t="shared" si="10"/>
        <v>0</v>
      </c>
      <c r="Q45" s="15" t="s">
        <v>11</v>
      </c>
      <c r="R45" s="28"/>
    </row>
    <row r="46" ht="16.5" spans="1:18">
      <c r="A46" s="24"/>
      <c r="B46" s="29"/>
      <c r="C46" s="14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6.5" spans="1:18">
      <c r="A47" s="24"/>
      <c r="B47" s="29"/>
      <c r="C47" s="14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6.5" customHeight="1" spans="1:18">
      <c r="A48" s="30" t="s">
        <v>102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2"/>
    </row>
    <row r="49" ht="16.5" customHeight="1" spans="1:19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</row>
    <row r="50" ht="16.5" customHeight="1" spans="1:19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8"/>
    </row>
    <row r="51" ht="20.1" customHeight="1" spans="1:19">
      <c r="A51" s="39" t="s">
        <v>103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1"/>
      <c r="R51" s="42"/>
      <c r="S51" s="42"/>
    </row>
    <row r="52" ht="20.1" customHeight="1" spans="1:19">
      <c r="A52" s="39" t="s">
        <v>104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1"/>
      <c r="R52" s="42"/>
      <c r="S52" s="42"/>
    </row>
    <row r="53" ht="20.1" customHeight="1" spans="1:19">
      <c r="A53" s="39" t="s">
        <v>105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1"/>
      <c r="R53" s="42"/>
      <c r="S53" s="42"/>
    </row>
    <row r="54" ht="20.1" customHeight="1" spans="1:19">
      <c r="A54" s="39" t="s">
        <v>106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1"/>
      <c r="R54" s="42"/>
      <c r="S54" s="42"/>
    </row>
    <row r="55" ht="39.95" customHeight="1" spans="1:19">
      <c r="A55" s="39" t="s">
        <v>107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1"/>
      <c r="R55" s="42"/>
      <c r="S55" s="42"/>
    </row>
    <row r="56" ht="39.95" customHeight="1" spans="1:19">
      <c r="A56" s="39" t="s">
        <v>108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1"/>
      <c r="R56" s="42"/>
      <c r="S56" s="42"/>
    </row>
    <row r="57" ht="20.1" customHeight="1" spans="1:19">
      <c r="A57" s="39" t="s">
        <v>109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1"/>
      <c r="R57" s="42"/>
      <c r="S57" s="42"/>
    </row>
    <row r="58" ht="20.1" customHeight="1" spans="1:19">
      <c r="A58" s="39" t="s">
        <v>110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42"/>
      <c r="S58" s="42"/>
    </row>
    <row r="59" ht="20.1" customHeight="1" spans="1:19">
      <c r="A59" s="39" t="s">
        <v>111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42"/>
      <c r="S59" s="42"/>
    </row>
    <row r="60" ht="20.1" customHeight="1" spans="1:19">
      <c r="A60" s="39" t="s">
        <v>112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1"/>
      <c r="R60" s="42"/>
      <c r="S60" s="42"/>
    </row>
    <row r="61" ht="20.1" customHeight="1" spans="1:19">
      <c r="A61" s="39" t="s">
        <v>113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1"/>
      <c r="R61" s="42"/>
      <c r="S61" s="42"/>
    </row>
    <row r="62" ht="20.1" customHeight="1" spans="1:19">
      <c r="A62" s="39" t="s">
        <v>114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  <c r="R62" s="42"/>
      <c r="S62" s="42"/>
    </row>
    <row r="63" ht="20.1" customHeight="1" spans="1:19">
      <c r="A63" s="39" t="s">
        <v>115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1"/>
    </row>
    <row r="64" ht="20.1" customHeight="1" spans="1:19">
      <c r="A64" s="39" t="s">
        <v>116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1"/>
    </row>
    <row r="65" ht="20.1" customHeight="1" spans="1:17">
      <c r="A65" s="39" t="s">
        <v>117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1"/>
    </row>
    <row r="66" ht="20.1" customHeight="1" spans="1:17">
      <c r="A66" s="39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1"/>
    </row>
    <row r="67" ht="20.1" customHeight="1" spans="1:17">
      <c r="A67" s="39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1"/>
    </row>
    <row r="68" ht="20.1" customHeight="1" spans="1:17">
      <c r="A68" s="39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1"/>
    </row>
    <row r="69" ht="20.1" customHeight="1" spans="1:17">
      <c r="A69" s="3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1"/>
    </row>
  </sheetData>
  <mergeCells count="22">
    <mergeCell ref="A51:Q51"/>
    <mergeCell ref="A52:Q52"/>
    <mergeCell ref="A53:Q53"/>
    <mergeCell ref="A54:Q54"/>
    <mergeCell ref="A55:Q55"/>
    <mergeCell ref="A56:Q56"/>
    <mergeCell ref="A57:Q57"/>
    <mergeCell ref="A58:Q58"/>
    <mergeCell ref="A59:Q59"/>
    <mergeCell ref="A60:Q60"/>
    <mergeCell ref="A61:Q61"/>
    <mergeCell ref="A62:Q62"/>
    <mergeCell ref="A63:Q63"/>
    <mergeCell ref="A64:Q64"/>
    <mergeCell ref="A65:Q65"/>
    <mergeCell ref="A66:Q66"/>
    <mergeCell ref="A67:Q67"/>
    <mergeCell ref="A68:Q68"/>
    <mergeCell ref="A69:Q69"/>
    <mergeCell ref="C8:C13"/>
    <mergeCell ref="D8:D12"/>
    <mergeCell ref="A48:Q50"/>
  </mergeCells>
  <dataValidations count="3">
    <dataValidation type="list" allowBlank="1" showInputMessage="1" showErrorMessage="1" sqref="E32">
      <formula1>"DN,NPS"</formula1>
    </dataValidation>
    <dataValidation type="list" allowBlank="1" showInputMessage="1" showErrorMessage="1" sqref="E34">
      <formula1>"CLASS,PN"</formula1>
    </dataValidation>
    <dataValidation type="list" allowBlank="1" showInputMessage="1" showErrorMessage="1" sqref="E37">
      <formula1>"Sch,mm"</formula1>
    </dataValidation>
  </dataValidations>
  <pageMargins left="0.7" right="0.7" top="0.75" bottom="0.75" header="0.3" footer="0.3"/>
  <pageSetup paperSize="9" orientation="portrait" horizontalDpi="3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圆筒-管口配置文件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高莹</cp:lastModifiedBy>
  <dcterms:created xsi:type="dcterms:W3CDTF">2025-08-01T00:58:00Z</dcterms:created>
  <dcterms:modified xsi:type="dcterms:W3CDTF">2026-09-21T11:01:48Z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AC2C254BACEB415A947ECFD470F202B2_13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