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9FFF30-E835-4275-ABC4-D4A606E67BA2}" xr6:coauthVersionLast="47" xr6:coauthVersionMax="47" xr10:uidLastSave="{00000000-0000-0000-0000-000000000000}"/>
  <bookViews>
    <workbookView xWindow="-29798" yWindow="772" windowWidth="21796" windowHeight="12976" xr2:uid="{00000000-000D-0000-FFFF-FFFF00000000}"/>
  </bookViews>
  <sheets>
    <sheet name="U型管明细" sheetId="1" r:id="rId1"/>
  </sheets>
  <definedNames>
    <definedName name="_xlnm.Print_Area" localSheetId="0">U型管明细!$A$1:$K$55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E10" i="1"/>
  <c r="O5" i="1"/>
  <c r="O4" i="1"/>
  <c r="O3" i="1"/>
  <c r="O2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G4" i="1"/>
  <c r="G5" i="1" s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D10" i="1"/>
  <c r="F10" i="1" s="1"/>
  <c r="J10" i="1" s="1"/>
  <c r="C10" i="1"/>
  <c r="B10" i="1"/>
  <c r="E11" i="1" l="1"/>
  <c r="E12" i="1" s="1"/>
  <c r="E13" i="1" s="1"/>
  <c r="K10" i="1"/>
  <c r="H10" i="1"/>
  <c r="I10" i="1" s="1"/>
  <c r="E14" i="1" l="1"/>
  <c r="F14" i="1" s="1"/>
  <c r="K14" i="1" s="1"/>
  <c r="F13" i="1"/>
  <c r="F11" i="1"/>
  <c r="F12" i="1"/>
  <c r="K12" i="1" s="1"/>
  <c r="H14" i="1"/>
  <c r="I14" i="1" s="1"/>
  <c r="J14" i="1"/>
  <c r="E15" i="1"/>
  <c r="F15" i="1" s="1"/>
  <c r="H15" i="1" s="1"/>
  <c r="I15" i="1" s="1"/>
  <c r="J12" i="1"/>
  <c r="H12" i="1"/>
  <c r="I12" i="1" s="1"/>
  <c r="J13" i="1"/>
  <c r="H13" i="1"/>
  <c r="I13" i="1" s="1"/>
  <c r="K13" i="1"/>
  <c r="H11" i="1"/>
  <c r="I11" i="1" s="1"/>
  <c r="J11" i="1"/>
  <c r="K11" i="1"/>
  <c r="K15" i="1" l="1"/>
  <c r="J15" i="1"/>
  <c r="E16" i="1"/>
  <c r="F16" i="1" l="1"/>
  <c r="E17" i="1"/>
  <c r="E18" i="1" l="1"/>
  <c r="F17" i="1"/>
  <c r="J16" i="1"/>
  <c r="K16" i="1"/>
  <c r="H16" i="1"/>
  <c r="I16" i="1" s="1"/>
  <c r="K17" i="1" l="1"/>
  <c r="H17" i="1"/>
  <c r="I17" i="1" s="1"/>
  <c r="J17" i="1"/>
  <c r="E19" i="1"/>
  <c r="F18" i="1"/>
  <c r="J18" i="1" l="1"/>
  <c r="H18" i="1"/>
  <c r="I18" i="1" s="1"/>
  <c r="K18" i="1"/>
  <c r="E20" i="1"/>
  <c r="F19" i="1"/>
  <c r="H19" i="1" l="1"/>
  <c r="I19" i="1" s="1"/>
  <c r="J19" i="1"/>
  <c r="K19" i="1"/>
  <c r="E21" i="1"/>
  <c r="F20" i="1"/>
  <c r="K20" i="1" l="1"/>
  <c r="H20" i="1"/>
  <c r="I20" i="1" s="1"/>
  <c r="J20" i="1"/>
  <c r="E22" i="1"/>
  <c r="F21" i="1"/>
  <c r="H21" i="1" l="1"/>
  <c r="I21" i="1" s="1"/>
  <c r="K21" i="1"/>
  <c r="J21" i="1"/>
  <c r="E23" i="1"/>
  <c r="F22" i="1"/>
  <c r="H22" i="1" l="1"/>
  <c r="I22" i="1" s="1"/>
  <c r="J22" i="1"/>
  <c r="K22" i="1"/>
  <c r="F23" i="1"/>
  <c r="E24" i="1"/>
  <c r="H23" i="1" l="1"/>
  <c r="I23" i="1" s="1"/>
  <c r="K23" i="1"/>
  <c r="J23" i="1"/>
  <c r="F24" i="1"/>
  <c r="E25" i="1"/>
  <c r="E26" i="1" l="1"/>
  <c r="F25" i="1"/>
  <c r="H24" i="1"/>
  <c r="I24" i="1" s="1"/>
  <c r="J24" i="1"/>
  <c r="K24" i="1"/>
  <c r="H25" i="1" l="1"/>
  <c r="I25" i="1" s="1"/>
  <c r="K25" i="1"/>
  <c r="J25" i="1"/>
  <c r="E27" i="1"/>
  <c r="F26" i="1"/>
  <c r="F27" i="1" l="1"/>
  <c r="E28" i="1"/>
  <c r="J26" i="1"/>
  <c r="H26" i="1"/>
  <c r="I26" i="1" s="1"/>
  <c r="K26" i="1"/>
  <c r="E29" i="1" l="1"/>
  <c r="F28" i="1"/>
  <c r="K27" i="1"/>
  <c r="H27" i="1"/>
  <c r="I27" i="1" s="1"/>
  <c r="J27" i="1"/>
  <c r="H28" i="1" l="1"/>
  <c r="I28" i="1" s="1"/>
  <c r="K28" i="1"/>
  <c r="J28" i="1"/>
  <c r="E30" i="1"/>
  <c r="F29" i="1"/>
  <c r="K29" i="1" l="1"/>
  <c r="J29" i="1"/>
  <c r="H29" i="1"/>
  <c r="I29" i="1" s="1"/>
  <c r="E31" i="1"/>
  <c r="F30" i="1"/>
  <c r="H30" i="1" l="1"/>
  <c r="I30" i="1" s="1"/>
  <c r="K30" i="1"/>
  <c r="J30" i="1"/>
  <c r="E32" i="1"/>
  <c r="F31" i="1"/>
  <c r="F32" i="1" l="1"/>
  <c r="E33" i="1"/>
  <c r="H31" i="1"/>
  <c r="I31" i="1" s="1"/>
  <c r="J31" i="1"/>
  <c r="K31" i="1"/>
  <c r="E34" i="1" l="1"/>
  <c r="F33" i="1"/>
  <c r="J32" i="1"/>
  <c r="H32" i="1"/>
  <c r="I32" i="1" s="1"/>
  <c r="K32" i="1"/>
  <c r="J33" i="1" l="1"/>
  <c r="H33" i="1"/>
  <c r="I33" i="1" s="1"/>
  <c r="K33" i="1"/>
  <c r="E35" i="1"/>
  <c r="F34" i="1"/>
  <c r="H34" i="1" l="1"/>
  <c r="I34" i="1" s="1"/>
  <c r="J34" i="1"/>
  <c r="K34" i="1"/>
  <c r="F35" i="1"/>
  <c r="E36" i="1"/>
  <c r="F36" i="1" l="1"/>
  <c r="E37" i="1"/>
  <c r="H35" i="1"/>
  <c r="I35" i="1" s="1"/>
  <c r="J35" i="1"/>
  <c r="K35" i="1"/>
  <c r="E38" i="1" l="1"/>
  <c r="F37" i="1"/>
  <c r="J36" i="1"/>
  <c r="K36" i="1"/>
  <c r="H36" i="1"/>
  <c r="I36" i="1" s="1"/>
  <c r="H37" i="1" l="1"/>
  <c r="I37" i="1" s="1"/>
  <c r="J37" i="1"/>
  <c r="K37" i="1"/>
  <c r="E39" i="1"/>
  <c r="F38" i="1"/>
  <c r="H38" i="1" l="1"/>
  <c r="I38" i="1" s="1"/>
  <c r="J38" i="1"/>
  <c r="K38" i="1"/>
  <c r="E40" i="1"/>
  <c r="F39" i="1"/>
  <c r="H39" i="1" l="1"/>
  <c r="I39" i="1" s="1"/>
  <c r="K39" i="1"/>
  <c r="J39" i="1"/>
  <c r="E41" i="1"/>
  <c r="F40" i="1"/>
  <c r="J40" i="1" l="1"/>
  <c r="H40" i="1"/>
  <c r="I40" i="1" s="1"/>
  <c r="K40" i="1"/>
  <c r="E42" i="1"/>
  <c r="F41" i="1"/>
  <c r="E43" i="1" l="1"/>
  <c r="F42" i="1"/>
  <c r="K41" i="1"/>
  <c r="H41" i="1"/>
  <c r="I41" i="1" s="1"/>
  <c r="J41" i="1"/>
  <c r="H42" i="1" l="1"/>
  <c r="I42" i="1" s="1"/>
  <c r="K42" i="1"/>
  <c r="J42" i="1"/>
  <c r="E44" i="1"/>
  <c r="F43" i="1"/>
  <c r="J43" i="1" l="1"/>
  <c r="H43" i="1"/>
  <c r="I43" i="1" s="1"/>
  <c r="K43" i="1"/>
  <c r="F44" i="1"/>
  <c r="E45" i="1"/>
  <c r="K44" i="1" l="1"/>
  <c r="J44" i="1"/>
  <c r="H44" i="1"/>
  <c r="I44" i="1" s="1"/>
  <c r="E46" i="1"/>
  <c r="F45" i="1"/>
  <c r="E47" i="1" l="1"/>
  <c r="F46" i="1"/>
  <c r="K45" i="1"/>
  <c r="H45" i="1"/>
  <c r="I45" i="1" s="1"/>
  <c r="J45" i="1"/>
  <c r="J46" i="1" l="1"/>
  <c r="H46" i="1"/>
  <c r="I46" i="1" s="1"/>
  <c r="K46" i="1"/>
  <c r="E48" i="1"/>
  <c r="F47" i="1"/>
  <c r="K47" i="1" l="1"/>
  <c r="J47" i="1"/>
  <c r="H47" i="1"/>
  <c r="I47" i="1" s="1"/>
  <c r="E49" i="1"/>
  <c r="F48" i="1"/>
  <c r="E50" i="1" l="1"/>
  <c r="F49" i="1"/>
  <c r="H48" i="1"/>
  <c r="I48" i="1" s="1"/>
  <c r="K48" i="1"/>
  <c r="J48" i="1"/>
  <c r="J49" i="1" l="1"/>
  <c r="K49" i="1"/>
  <c r="H49" i="1"/>
  <c r="I49" i="1" s="1"/>
  <c r="E51" i="1"/>
  <c r="F50" i="1"/>
  <c r="J50" i="1" l="1"/>
  <c r="H50" i="1"/>
  <c r="I50" i="1" s="1"/>
  <c r="K50" i="1"/>
  <c r="F51" i="1"/>
  <c r="E52" i="1"/>
  <c r="K51" i="1" l="1"/>
  <c r="H51" i="1"/>
  <c r="I51" i="1" s="1"/>
  <c r="J51" i="1"/>
  <c r="E53" i="1"/>
  <c r="F52" i="1"/>
  <c r="J52" i="1" l="1"/>
  <c r="K52" i="1"/>
  <c r="H52" i="1"/>
  <c r="I52" i="1" s="1"/>
  <c r="E54" i="1"/>
  <c r="F53" i="1"/>
  <c r="E55" i="1" l="1"/>
  <c r="F55" i="1" s="1"/>
  <c r="F54" i="1"/>
  <c r="K53" i="1"/>
  <c r="J53" i="1"/>
  <c r="H53" i="1"/>
  <c r="I53" i="1" s="1"/>
  <c r="H54" i="1" l="1"/>
  <c r="I54" i="1" s="1"/>
  <c r="J54" i="1"/>
  <c r="K54" i="1"/>
  <c r="J55" i="1"/>
  <c r="G2" i="1" s="1"/>
  <c r="H55" i="1"/>
  <c r="I55" i="1" s="1"/>
  <c r="K55" i="1"/>
  <c r="G3" i="1" s="1"/>
  <c r="G6" i="1" l="1"/>
</calcChain>
</file>

<file path=xl/sharedStrings.xml><?xml version="1.0" encoding="utf-8"?>
<sst xmlns="http://schemas.openxmlformats.org/spreadsheetml/2006/main" count="25" uniqueCount="24">
  <si>
    <t>层数</t>
    <phoneticPr fontId="1" type="noConversion"/>
  </si>
  <si>
    <t>直径</t>
    <phoneticPr fontId="1" type="noConversion"/>
  </si>
  <si>
    <t>厚度</t>
    <phoneticPr fontId="1" type="noConversion"/>
  </si>
  <si>
    <t>直边长度</t>
    <phoneticPr fontId="1" type="noConversion"/>
  </si>
  <si>
    <t>数量</t>
    <phoneticPr fontId="1" type="noConversion"/>
  </si>
  <si>
    <t>换热管直径</t>
    <phoneticPr fontId="1" type="noConversion"/>
  </si>
  <si>
    <t>换热管厚度</t>
    <phoneticPr fontId="1" type="noConversion"/>
  </si>
  <si>
    <t>第一层R</t>
    <phoneticPr fontId="1" type="noConversion"/>
  </si>
  <si>
    <t>管间距</t>
    <phoneticPr fontId="1" type="noConversion"/>
  </si>
  <si>
    <t>布管形式</t>
    <phoneticPr fontId="1" type="noConversion"/>
  </si>
  <si>
    <t>总长</t>
    <phoneticPr fontId="1" type="noConversion"/>
  </si>
  <si>
    <t>重量</t>
    <phoneticPr fontId="1" type="noConversion"/>
  </si>
  <si>
    <t>管板厚度</t>
    <phoneticPr fontId="1" type="noConversion"/>
  </si>
  <si>
    <t>密度</t>
    <phoneticPr fontId="1" type="noConversion"/>
  </si>
  <si>
    <t>管程容积</t>
    <phoneticPr fontId="1" type="noConversion"/>
  </si>
  <si>
    <t>壳程容积</t>
    <phoneticPr fontId="1" type="noConversion"/>
  </si>
  <si>
    <t>换热面积</t>
    <phoneticPr fontId="1" type="noConversion"/>
  </si>
  <si>
    <t>R</t>
    <phoneticPr fontId="1" type="noConversion"/>
  </si>
  <si>
    <t>总重</t>
    <phoneticPr fontId="1" type="noConversion"/>
  </si>
  <si>
    <t>壳程扣除容积</t>
    <phoneticPr fontId="1" type="noConversion"/>
  </si>
  <si>
    <t>换热管总数</t>
    <phoneticPr fontId="1" type="noConversion"/>
  </si>
  <si>
    <t>U型换热管计算</t>
    <phoneticPr fontId="1" type="noConversion"/>
  </si>
  <si>
    <t>管程增加容积</t>
    <phoneticPr fontId="1" type="noConversion"/>
  </si>
  <si>
    <t>换热管重量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</si>
</sst>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);[Red]\(0.000\)"/>
    <numFmt numFmtId="178" formatCode="0.00_ 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7" fontId="2" fillId="33" borderId="1" xfId="0" applyNumberFormat="1" applyFont="1" applyFill="1" applyBorder="1" applyAlignment="1">
      <alignment horizontal="center" vertical="center"/>
    </xf>
    <xf numFmtId="0" fontId="19" fillId="0" borderId="12" xfId="0" applyFon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zoomScaleNormal="100" workbookViewId="0">
      <selection activeCell="N14" sqref="N14"/>
    </sheetView>
  </sheetViews>
  <sheetFormatPr defaultRowHeight="13.5" x14ac:dyDescent="0.3"/>
  <cols>
    <col min="1" max="1" width="5.19921875" bestFit="1" customWidth="1"/>
    <col min="2" max="2" width="11.6640625" customWidth="1"/>
    <col min="3" max="3" width="5.46484375" bestFit="1" customWidth="1"/>
    <col min="5" max="5" width="7.6640625" customWidth="1"/>
    <col min="6" max="6" width="13" bestFit="1" customWidth="1"/>
    <col min="7" max="7" width="10.46484375" bestFit="1" customWidth="1"/>
    <col min="8" max="8" width="6.46484375" bestFit="1" customWidth="1"/>
    <col min="9" max="9" width="7.46484375" bestFit="1" customWidth="1"/>
    <col min="10" max="11" width="8.796875" customWidth="1"/>
  </cols>
  <sheetData>
    <row r="1" spans="1:15" x14ac:dyDescent="0.3">
      <c r="A1" s="5"/>
      <c r="B1" s="11" t="s">
        <v>21</v>
      </c>
      <c r="C1" s="6"/>
      <c r="D1" s="6"/>
      <c r="E1" s="6"/>
      <c r="F1" s="6"/>
      <c r="G1" s="6"/>
      <c r="H1" s="6"/>
      <c r="I1" s="6"/>
      <c r="J1" s="6"/>
      <c r="K1" s="7"/>
    </row>
    <row r="2" spans="1:15" x14ac:dyDescent="0.3">
      <c r="A2" s="8"/>
      <c r="B2" s="2" t="s">
        <v>5</v>
      </c>
      <c r="C2" s="13"/>
      <c r="D2" s="2" t="s">
        <v>8</v>
      </c>
      <c r="E2" s="13"/>
      <c r="F2" s="2" t="s">
        <v>22</v>
      </c>
      <c r="G2" s="10" t="e">
        <f>SUM(J10:J302)</f>
        <v>#N/A</v>
      </c>
      <c r="K2" s="9"/>
      <c r="N2">
        <v>30</v>
      </c>
      <c r="O2">
        <f>E2/2*SQRT(3)</f>
        <v>0</v>
      </c>
    </row>
    <row r="3" spans="1:15" x14ac:dyDescent="0.3">
      <c r="A3" s="8"/>
      <c r="B3" s="2" t="s">
        <v>6</v>
      </c>
      <c r="C3" s="13"/>
      <c r="D3" s="2" t="s">
        <v>7</v>
      </c>
      <c r="E3" s="13"/>
      <c r="F3" s="2" t="s">
        <v>19</v>
      </c>
      <c r="G3" s="10" t="e">
        <f>SUM(K10:K302)</f>
        <v>#N/A</v>
      </c>
      <c r="K3" s="9"/>
      <c r="N3">
        <v>60</v>
      </c>
      <c r="O3">
        <f>E2/2</f>
        <v>0</v>
      </c>
    </row>
    <row r="4" spans="1:15" x14ac:dyDescent="0.3">
      <c r="A4" s="8"/>
      <c r="B4" s="2" t="s">
        <v>3</v>
      </c>
      <c r="C4" s="13"/>
      <c r="D4" s="2" t="s">
        <v>9</v>
      </c>
      <c r="E4" s="13"/>
      <c r="F4" s="2" t="s">
        <v>20</v>
      </c>
      <c r="G4" s="10">
        <f>SUM(G10:G302)</f>
        <v>0</v>
      </c>
      <c r="K4" s="9"/>
      <c r="M4" t="e">
        <f>VLOOKUP(E4,N2:O5,2,0)</f>
        <v>#N/A</v>
      </c>
      <c r="N4">
        <v>45</v>
      </c>
      <c r="O4">
        <f>E2*SQRT(2)/2</f>
        <v>0</v>
      </c>
    </row>
    <row r="5" spans="1:15" x14ac:dyDescent="0.3">
      <c r="A5" s="8"/>
      <c r="B5" s="2" t="s">
        <v>13</v>
      </c>
      <c r="C5" s="13"/>
      <c r="D5" s="2" t="s">
        <v>12</v>
      </c>
      <c r="E5" s="13"/>
      <c r="F5" s="2" t="s">
        <v>16</v>
      </c>
      <c r="G5" s="10">
        <f>PI()*C2*(C4*2-2*$E$5)*0.001*0.001*G4</f>
        <v>0</v>
      </c>
      <c r="K5" s="9"/>
      <c r="N5">
        <v>90</v>
      </c>
      <c r="O5">
        <f>E2</f>
        <v>0</v>
      </c>
    </row>
    <row r="6" spans="1:15" x14ac:dyDescent="0.3">
      <c r="A6" s="8"/>
      <c r="F6" s="2" t="s">
        <v>23</v>
      </c>
      <c r="G6" s="10" t="e">
        <f>SUM(I10:I302)</f>
        <v>#N/A</v>
      </c>
      <c r="K6" s="9"/>
    </row>
    <row r="7" spans="1:15" x14ac:dyDescent="0.3">
      <c r="A7" s="8"/>
      <c r="K7" s="9"/>
    </row>
    <row r="8" spans="1:15" x14ac:dyDescent="0.3">
      <c r="A8" s="8"/>
      <c r="K8" s="9"/>
    </row>
    <row r="9" spans="1:15" x14ac:dyDescent="0.3">
      <c r="A9" s="3" t="s">
        <v>0</v>
      </c>
      <c r="B9" s="3" t="s">
        <v>1</v>
      </c>
      <c r="C9" s="3" t="s">
        <v>2</v>
      </c>
      <c r="D9" s="3" t="s">
        <v>3</v>
      </c>
      <c r="E9" s="3" t="s">
        <v>17</v>
      </c>
      <c r="F9" s="3" t="s">
        <v>10</v>
      </c>
      <c r="G9" s="3" t="s">
        <v>4</v>
      </c>
      <c r="H9" s="3" t="s">
        <v>11</v>
      </c>
      <c r="I9" s="3" t="s">
        <v>18</v>
      </c>
      <c r="J9" s="3" t="s">
        <v>14</v>
      </c>
      <c r="K9" s="3" t="s">
        <v>15</v>
      </c>
    </row>
    <row r="10" spans="1:15" x14ac:dyDescent="0.3">
      <c r="A10" s="3">
        <v>1</v>
      </c>
      <c r="B10" s="3">
        <f>$C$2</f>
        <v>0</v>
      </c>
      <c r="C10" s="3">
        <f>$C$3</f>
        <v>0</v>
      </c>
      <c r="D10" s="3">
        <f>$C$4</f>
        <v>0</v>
      </c>
      <c r="E10" s="4">
        <f>E3</f>
        <v>0</v>
      </c>
      <c r="F10" s="4">
        <f>2*D10+PI()*E10</f>
        <v>0</v>
      </c>
      <c r="G10" s="13"/>
      <c r="H10" s="4">
        <f t="shared" ref="H10:H17" si="0">C10*(B10-C10)*PI()*F10*$C$5*0.001*0.001</f>
        <v>0</v>
      </c>
      <c r="I10" s="4">
        <f t="shared" ref="I10:I17" si="1">G10*H10</f>
        <v>0</v>
      </c>
      <c r="J10" s="12">
        <f>PI()/4*(B10-2*C10)^2*F10*0.001*0.001*0.001*G10</f>
        <v>0</v>
      </c>
      <c r="K10" s="12">
        <f t="shared" ref="K10:K17" si="2">PI()/4*B10^2*(F10-2*$E$5)*0.001*0.001*0.001*G10</f>
        <v>0</v>
      </c>
    </row>
    <row r="11" spans="1:15" x14ac:dyDescent="0.3">
      <c r="A11" s="3">
        <v>2</v>
      </c>
      <c r="B11" s="3">
        <f t="shared" ref="B11:B55" si="3">$C$2</f>
        <v>0</v>
      </c>
      <c r="C11" s="3">
        <f t="shared" ref="C11:C55" si="4">$C$3</f>
        <v>0</v>
      </c>
      <c r="D11" s="3">
        <f t="shared" ref="D11:D55" si="5">$C$4</f>
        <v>0</v>
      </c>
      <c r="E11" s="4" t="e">
        <f>E10+$M$4</f>
        <v>#N/A</v>
      </c>
      <c r="F11" s="4" t="e">
        <f t="shared" ref="F10:F17" si="6">2*D11+PI()*E11</f>
        <v>#N/A</v>
      </c>
      <c r="G11" s="13"/>
      <c r="H11" s="4" t="e">
        <f t="shared" si="0"/>
        <v>#N/A</v>
      </c>
      <c r="I11" s="4" t="e">
        <f t="shared" si="1"/>
        <v>#N/A</v>
      </c>
      <c r="J11" s="12" t="e">
        <f t="shared" ref="J11:J17" si="7">PI()/4*(B11-2*C11)^2*F11*0.001*0.001*0.001*G11</f>
        <v>#N/A</v>
      </c>
      <c r="K11" s="12" t="e">
        <f t="shared" si="2"/>
        <v>#N/A</v>
      </c>
    </row>
    <row r="12" spans="1:15" x14ac:dyDescent="0.3">
      <c r="A12" s="3">
        <v>3</v>
      </c>
      <c r="B12" s="3">
        <f t="shared" si="3"/>
        <v>0</v>
      </c>
      <c r="C12" s="3">
        <f t="shared" si="4"/>
        <v>0</v>
      </c>
      <c r="D12" s="3">
        <f t="shared" si="5"/>
        <v>0</v>
      </c>
      <c r="E12" s="4" t="e">
        <f>E11+$M$4</f>
        <v>#N/A</v>
      </c>
      <c r="F12" s="4" t="e">
        <f t="shared" si="6"/>
        <v>#N/A</v>
      </c>
      <c r="G12" s="13"/>
      <c r="H12" s="4" t="e">
        <f t="shared" si="0"/>
        <v>#N/A</v>
      </c>
      <c r="I12" s="4" t="e">
        <f t="shared" si="1"/>
        <v>#N/A</v>
      </c>
      <c r="J12" s="12" t="e">
        <f t="shared" si="7"/>
        <v>#N/A</v>
      </c>
      <c r="K12" s="12" t="e">
        <f t="shared" si="2"/>
        <v>#N/A</v>
      </c>
    </row>
    <row r="13" spans="1:15" x14ac:dyDescent="0.3">
      <c r="A13" s="3">
        <v>4</v>
      </c>
      <c r="B13" s="3">
        <f t="shared" si="3"/>
        <v>0</v>
      </c>
      <c r="C13" s="3">
        <f t="shared" si="4"/>
        <v>0</v>
      </c>
      <c r="D13" s="3">
        <f t="shared" si="5"/>
        <v>0</v>
      </c>
      <c r="E13" s="4" t="e">
        <f t="shared" ref="E11:E55" si="8">E12+$M$4</f>
        <v>#N/A</v>
      </c>
      <c r="F13" s="4" t="e">
        <f t="shared" si="6"/>
        <v>#N/A</v>
      </c>
      <c r="G13" s="13"/>
      <c r="H13" s="4" t="e">
        <f t="shared" si="0"/>
        <v>#N/A</v>
      </c>
      <c r="I13" s="4" t="e">
        <f t="shared" si="1"/>
        <v>#N/A</v>
      </c>
      <c r="J13" s="12" t="e">
        <f t="shared" si="7"/>
        <v>#N/A</v>
      </c>
      <c r="K13" s="12" t="e">
        <f t="shared" si="2"/>
        <v>#N/A</v>
      </c>
    </row>
    <row r="14" spans="1:15" x14ac:dyDescent="0.3">
      <c r="A14" s="3">
        <v>5</v>
      </c>
      <c r="B14" s="3">
        <f t="shared" si="3"/>
        <v>0</v>
      </c>
      <c r="C14" s="3">
        <f t="shared" si="4"/>
        <v>0</v>
      </c>
      <c r="D14" s="3">
        <f t="shared" si="5"/>
        <v>0</v>
      </c>
      <c r="E14" s="4" t="e">
        <f t="shared" si="8"/>
        <v>#N/A</v>
      </c>
      <c r="F14" s="4" t="e">
        <f t="shared" si="6"/>
        <v>#N/A</v>
      </c>
      <c r="G14" s="13"/>
      <c r="H14" s="4" t="e">
        <f t="shared" si="0"/>
        <v>#N/A</v>
      </c>
      <c r="I14" s="4" t="e">
        <f t="shared" si="1"/>
        <v>#N/A</v>
      </c>
      <c r="J14" s="12" t="e">
        <f t="shared" si="7"/>
        <v>#N/A</v>
      </c>
      <c r="K14" s="12" t="e">
        <f t="shared" si="2"/>
        <v>#N/A</v>
      </c>
    </row>
    <row r="15" spans="1:15" x14ac:dyDescent="0.3">
      <c r="A15" s="3">
        <v>6</v>
      </c>
      <c r="B15" s="3">
        <f t="shared" si="3"/>
        <v>0</v>
      </c>
      <c r="C15" s="3">
        <f t="shared" si="4"/>
        <v>0</v>
      </c>
      <c r="D15" s="3">
        <f t="shared" si="5"/>
        <v>0</v>
      </c>
      <c r="E15" s="4" t="e">
        <f>E14+$M$4</f>
        <v>#N/A</v>
      </c>
      <c r="F15" s="4" t="e">
        <f t="shared" si="6"/>
        <v>#N/A</v>
      </c>
      <c r="G15" s="13"/>
      <c r="H15" s="4" t="e">
        <f t="shared" si="0"/>
        <v>#N/A</v>
      </c>
      <c r="I15" s="4" t="e">
        <f t="shared" si="1"/>
        <v>#N/A</v>
      </c>
      <c r="J15" s="12" t="e">
        <f t="shared" si="7"/>
        <v>#N/A</v>
      </c>
      <c r="K15" s="12" t="e">
        <f t="shared" si="2"/>
        <v>#N/A</v>
      </c>
    </row>
    <row r="16" spans="1:15" x14ac:dyDescent="0.3">
      <c r="A16" s="3">
        <v>7</v>
      </c>
      <c r="B16" s="3">
        <f t="shared" si="3"/>
        <v>0</v>
      </c>
      <c r="C16" s="3">
        <f t="shared" si="4"/>
        <v>0</v>
      </c>
      <c r="D16" s="3">
        <f t="shared" si="5"/>
        <v>0</v>
      </c>
      <c r="E16" s="4" t="e">
        <f t="shared" si="8"/>
        <v>#N/A</v>
      </c>
      <c r="F16" s="4" t="e">
        <f t="shared" si="6"/>
        <v>#N/A</v>
      </c>
      <c r="G16" s="13"/>
      <c r="H16" s="4" t="e">
        <f t="shared" si="0"/>
        <v>#N/A</v>
      </c>
      <c r="I16" s="4" t="e">
        <f t="shared" si="1"/>
        <v>#N/A</v>
      </c>
      <c r="J16" s="12" t="e">
        <f t="shared" si="7"/>
        <v>#N/A</v>
      </c>
      <c r="K16" s="12" t="e">
        <f t="shared" si="2"/>
        <v>#N/A</v>
      </c>
    </row>
    <row r="17" spans="1:11" x14ac:dyDescent="0.3">
      <c r="A17" s="3">
        <v>8</v>
      </c>
      <c r="B17" s="3">
        <f t="shared" si="3"/>
        <v>0</v>
      </c>
      <c r="C17" s="3">
        <f t="shared" si="4"/>
        <v>0</v>
      </c>
      <c r="D17" s="3">
        <f t="shared" si="5"/>
        <v>0</v>
      </c>
      <c r="E17" s="4" t="e">
        <f t="shared" si="8"/>
        <v>#N/A</v>
      </c>
      <c r="F17" s="4" t="e">
        <f t="shared" si="6"/>
        <v>#N/A</v>
      </c>
      <c r="G17" s="13"/>
      <c r="H17" s="4" t="e">
        <f t="shared" si="0"/>
        <v>#N/A</v>
      </c>
      <c r="I17" s="4" t="e">
        <f t="shared" si="1"/>
        <v>#N/A</v>
      </c>
      <c r="J17" s="12" t="e">
        <f t="shared" si="7"/>
        <v>#N/A</v>
      </c>
      <c r="K17" s="12" t="e">
        <f t="shared" si="2"/>
        <v>#N/A</v>
      </c>
    </row>
    <row r="18" spans="1:11" x14ac:dyDescent="0.3">
      <c r="A18" s="3">
        <v>9</v>
      </c>
      <c r="B18" s="3">
        <f t="shared" si="3"/>
        <v>0</v>
      </c>
      <c r="C18" s="3">
        <f t="shared" si="4"/>
        <v>0</v>
      </c>
      <c r="D18" s="3">
        <f t="shared" si="5"/>
        <v>0</v>
      </c>
      <c r="E18" s="4" t="e">
        <f t="shared" si="8"/>
        <v>#N/A</v>
      </c>
      <c r="F18" s="4" t="e">
        <f t="shared" ref="F18:F44" si="9">2*D18+PI()*E18</f>
        <v>#N/A</v>
      </c>
      <c r="G18" s="13"/>
      <c r="H18" s="4" t="e">
        <f t="shared" ref="H18:H44" si="10">C18*(B18-C18)*PI()*F18*$C$5*0.001*0.001</f>
        <v>#N/A</v>
      </c>
      <c r="I18" s="4" t="e">
        <f t="shared" ref="I18:I44" si="11">G18*H18</f>
        <v>#N/A</v>
      </c>
      <c r="J18" s="12" t="e">
        <f t="shared" ref="J18:J44" si="12">PI()/4*(B18-2*C18)^2*F18*0.001*0.001*0.001*G18</f>
        <v>#N/A</v>
      </c>
      <c r="K18" s="12" t="e">
        <f t="shared" ref="K18:K44" si="13">PI()/4*B18^2*(F18-2*$E$5)*0.001*0.001*0.001*G18</f>
        <v>#N/A</v>
      </c>
    </row>
    <row r="19" spans="1:11" x14ac:dyDescent="0.3">
      <c r="A19" s="3">
        <v>10</v>
      </c>
      <c r="B19" s="3">
        <f t="shared" si="3"/>
        <v>0</v>
      </c>
      <c r="C19" s="3">
        <f t="shared" si="4"/>
        <v>0</v>
      </c>
      <c r="D19" s="3">
        <f t="shared" si="5"/>
        <v>0</v>
      </c>
      <c r="E19" s="4" t="e">
        <f t="shared" si="8"/>
        <v>#N/A</v>
      </c>
      <c r="F19" s="4" t="e">
        <f t="shared" si="9"/>
        <v>#N/A</v>
      </c>
      <c r="G19" s="13"/>
      <c r="H19" s="4" t="e">
        <f t="shared" si="10"/>
        <v>#N/A</v>
      </c>
      <c r="I19" s="4" t="e">
        <f t="shared" si="11"/>
        <v>#N/A</v>
      </c>
      <c r="J19" s="12" t="e">
        <f t="shared" si="12"/>
        <v>#N/A</v>
      </c>
      <c r="K19" s="12" t="e">
        <f t="shared" si="13"/>
        <v>#N/A</v>
      </c>
    </row>
    <row r="20" spans="1:11" x14ac:dyDescent="0.3">
      <c r="A20" s="3">
        <v>11</v>
      </c>
      <c r="B20" s="3">
        <f t="shared" si="3"/>
        <v>0</v>
      </c>
      <c r="C20" s="3">
        <f t="shared" si="4"/>
        <v>0</v>
      </c>
      <c r="D20" s="3">
        <f t="shared" si="5"/>
        <v>0</v>
      </c>
      <c r="E20" s="4" t="e">
        <f t="shared" si="8"/>
        <v>#N/A</v>
      </c>
      <c r="F20" s="4" t="e">
        <f t="shared" si="9"/>
        <v>#N/A</v>
      </c>
      <c r="G20" s="13"/>
      <c r="H20" s="4" t="e">
        <f t="shared" si="10"/>
        <v>#N/A</v>
      </c>
      <c r="I20" s="4" t="e">
        <f t="shared" si="11"/>
        <v>#N/A</v>
      </c>
      <c r="J20" s="12" t="e">
        <f t="shared" si="12"/>
        <v>#N/A</v>
      </c>
      <c r="K20" s="12" t="e">
        <f t="shared" si="13"/>
        <v>#N/A</v>
      </c>
    </row>
    <row r="21" spans="1:11" x14ac:dyDescent="0.3">
      <c r="A21" s="3">
        <v>12</v>
      </c>
      <c r="B21" s="3">
        <f t="shared" si="3"/>
        <v>0</v>
      </c>
      <c r="C21" s="3">
        <f t="shared" si="4"/>
        <v>0</v>
      </c>
      <c r="D21" s="3">
        <f t="shared" si="5"/>
        <v>0</v>
      </c>
      <c r="E21" s="4" t="e">
        <f t="shared" si="8"/>
        <v>#N/A</v>
      </c>
      <c r="F21" s="4" t="e">
        <f t="shared" si="9"/>
        <v>#N/A</v>
      </c>
      <c r="G21" s="13"/>
      <c r="H21" s="4" t="e">
        <f t="shared" si="10"/>
        <v>#N/A</v>
      </c>
      <c r="I21" s="4" t="e">
        <f t="shared" si="11"/>
        <v>#N/A</v>
      </c>
      <c r="J21" s="12" t="e">
        <f t="shared" si="12"/>
        <v>#N/A</v>
      </c>
      <c r="K21" s="12" t="e">
        <f t="shared" si="13"/>
        <v>#N/A</v>
      </c>
    </row>
    <row r="22" spans="1:11" x14ac:dyDescent="0.3">
      <c r="A22" s="3">
        <v>13</v>
      </c>
      <c r="B22" s="3">
        <f t="shared" si="3"/>
        <v>0</v>
      </c>
      <c r="C22" s="3">
        <f t="shared" si="4"/>
        <v>0</v>
      </c>
      <c r="D22" s="3">
        <f t="shared" si="5"/>
        <v>0</v>
      </c>
      <c r="E22" s="4" t="e">
        <f t="shared" si="8"/>
        <v>#N/A</v>
      </c>
      <c r="F22" s="4" t="e">
        <f t="shared" si="9"/>
        <v>#N/A</v>
      </c>
      <c r="G22" s="13"/>
      <c r="H22" s="4" t="e">
        <f t="shared" si="10"/>
        <v>#N/A</v>
      </c>
      <c r="I22" s="4" t="e">
        <f t="shared" si="11"/>
        <v>#N/A</v>
      </c>
      <c r="J22" s="12" t="e">
        <f t="shared" si="12"/>
        <v>#N/A</v>
      </c>
      <c r="K22" s="12" t="e">
        <f t="shared" si="13"/>
        <v>#N/A</v>
      </c>
    </row>
    <row r="23" spans="1:11" x14ac:dyDescent="0.3">
      <c r="A23" s="3">
        <v>14</v>
      </c>
      <c r="B23" s="3">
        <f t="shared" si="3"/>
        <v>0</v>
      </c>
      <c r="C23" s="3">
        <f t="shared" si="4"/>
        <v>0</v>
      </c>
      <c r="D23" s="3">
        <f t="shared" si="5"/>
        <v>0</v>
      </c>
      <c r="E23" s="4" t="e">
        <f t="shared" si="8"/>
        <v>#N/A</v>
      </c>
      <c r="F23" s="4" t="e">
        <f t="shared" si="9"/>
        <v>#N/A</v>
      </c>
      <c r="G23" s="13"/>
      <c r="H23" s="4" t="e">
        <f t="shared" si="10"/>
        <v>#N/A</v>
      </c>
      <c r="I23" s="4" t="e">
        <f t="shared" si="11"/>
        <v>#N/A</v>
      </c>
      <c r="J23" s="12" t="e">
        <f t="shared" si="12"/>
        <v>#N/A</v>
      </c>
      <c r="K23" s="12" t="e">
        <f t="shared" si="13"/>
        <v>#N/A</v>
      </c>
    </row>
    <row r="24" spans="1:11" x14ac:dyDescent="0.3">
      <c r="A24" s="3">
        <v>15</v>
      </c>
      <c r="B24" s="3">
        <f t="shared" si="3"/>
        <v>0</v>
      </c>
      <c r="C24" s="3">
        <f t="shared" si="4"/>
        <v>0</v>
      </c>
      <c r="D24" s="3">
        <f t="shared" si="5"/>
        <v>0</v>
      </c>
      <c r="E24" s="4" t="e">
        <f t="shared" si="8"/>
        <v>#N/A</v>
      </c>
      <c r="F24" s="4" t="e">
        <f t="shared" si="9"/>
        <v>#N/A</v>
      </c>
      <c r="G24" s="13"/>
      <c r="H24" s="4" t="e">
        <f t="shared" si="10"/>
        <v>#N/A</v>
      </c>
      <c r="I24" s="4" t="e">
        <f t="shared" si="11"/>
        <v>#N/A</v>
      </c>
      <c r="J24" s="12" t="e">
        <f t="shared" si="12"/>
        <v>#N/A</v>
      </c>
      <c r="K24" s="12" t="e">
        <f t="shared" si="13"/>
        <v>#N/A</v>
      </c>
    </row>
    <row r="25" spans="1:11" x14ac:dyDescent="0.3">
      <c r="A25" s="3">
        <v>16</v>
      </c>
      <c r="B25" s="3">
        <f t="shared" si="3"/>
        <v>0</v>
      </c>
      <c r="C25" s="3">
        <f t="shared" si="4"/>
        <v>0</v>
      </c>
      <c r="D25" s="3">
        <f t="shared" si="5"/>
        <v>0</v>
      </c>
      <c r="E25" s="4" t="e">
        <f t="shared" si="8"/>
        <v>#N/A</v>
      </c>
      <c r="F25" s="4" t="e">
        <f t="shared" si="9"/>
        <v>#N/A</v>
      </c>
      <c r="G25" s="13"/>
      <c r="H25" s="4" t="e">
        <f t="shared" si="10"/>
        <v>#N/A</v>
      </c>
      <c r="I25" s="4" t="e">
        <f t="shared" si="11"/>
        <v>#N/A</v>
      </c>
      <c r="J25" s="12" t="e">
        <f t="shared" si="12"/>
        <v>#N/A</v>
      </c>
      <c r="K25" s="12" t="e">
        <f t="shared" si="13"/>
        <v>#N/A</v>
      </c>
    </row>
    <row r="26" spans="1:11" x14ac:dyDescent="0.3">
      <c r="A26" s="3">
        <v>17</v>
      </c>
      <c r="B26" s="3">
        <f t="shared" si="3"/>
        <v>0</v>
      </c>
      <c r="C26" s="3">
        <f t="shared" si="4"/>
        <v>0</v>
      </c>
      <c r="D26" s="3">
        <f t="shared" si="5"/>
        <v>0</v>
      </c>
      <c r="E26" s="4" t="e">
        <f t="shared" si="8"/>
        <v>#N/A</v>
      </c>
      <c r="F26" s="4" t="e">
        <f t="shared" si="9"/>
        <v>#N/A</v>
      </c>
      <c r="G26" s="13"/>
      <c r="H26" s="4" t="e">
        <f t="shared" si="10"/>
        <v>#N/A</v>
      </c>
      <c r="I26" s="4" t="e">
        <f t="shared" si="11"/>
        <v>#N/A</v>
      </c>
      <c r="J26" s="12" t="e">
        <f t="shared" si="12"/>
        <v>#N/A</v>
      </c>
      <c r="K26" s="12" t="e">
        <f t="shared" si="13"/>
        <v>#N/A</v>
      </c>
    </row>
    <row r="27" spans="1:11" x14ac:dyDescent="0.3">
      <c r="A27" s="3">
        <v>18</v>
      </c>
      <c r="B27" s="3">
        <f t="shared" si="3"/>
        <v>0</v>
      </c>
      <c r="C27" s="3">
        <f t="shared" si="4"/>
        <v>0</v>
      </c>
      <c r="D27" s="3">
        <f t="shared" si="5"/>
        <v>0</v>
      </c>
      <c r="E27" s="4" t="e">
        <f t="shared" si="8"/>
        <v>#N/A</v>
      </c>
      <c r="F27" s="4" t="e">
        <f t="shared" si="9"/>
        <v>#N/A</v>
      </c>
      <c r="G27" s="13"/>
      <c r="H27" s="4" t="e">
        <f t="shared" si="10"/>
        <v>#N/A</v>
      </c>
      <c r="I27" s="4" t="e">
        <f t="shared" si="11"/>
        <v>#N/A</v>
      </c>
      <c r="J27" s="12" t="e">
        <f t="shared" si="12"/>
        <v>#N/A</v>
      </c>
      <c r="K27" s="12" t="e">
        <f t="shared" si="13"/>
        <v>#N/A</v>
      </c>
    </row>
    <row r="28" spans="1:11" x14ac:dyDescent="0.3">
      <c r="A28" s="3">
        <v>19</v>
      </c>
      <c r="B28" s="3">
        <f t="shared" si="3"/>
        <v>0</v>
      </c>
      <c r="C28" s="3">
        <f t="shared" si="4"/>
        <v>0</v>
      </c>
      <c r="D28" s="3">
        <f t="shared" si="5"/>
        <v>0</v>
      </c>
      <c r="E28" s="4" t="e">
        <f t="shared" si="8"/>
        <v>#N/A</v>
      </c>
      <c r="F28" s="4" t="e">
        <f t="shared" si="9"/>
        <v>#N/A</v>
      </c>
      <c r="G28" s="13"/>
      <c r="H28" s="4" t="e">
        <f t="shared" si="10"/>
        <v>#N/A</v>
      </c>
      <c r="I28" s="4" t="e">
        <f t="shared" si="11"/>
        <v>#N/A</v>
      </c>
      <c r="J28" s="12" t="e">
        <f t="shared" si="12"/>
        <v>#N/A</v>
      </c>
      <c r="K28" s="12" t="e">
        <f t="shared" si="13"/>
        <v>#N/A</v>
      </c>
    </row>
    <row r="29" spans="1:11" x14ac:dyDescent="0.3">
      <c r="A29" s="3">
        <v>20</v>
      </c>
      <c r="B29" s="3">
        <f t="shared" si="3"/>
        <v>0</v>
      </c>
      <c r="C29" s="3">
        <f t="shared" si="4"/>
        <v>0</v>
      </c>
      <c r="D29" s="3">
        <f t="shared" si="5"/>
        <v>0</v>
      </c>
      <c r="E29" s="4" t="e">
        <f t="shared" si="8"/>
        <v>#N/A</v>
      </c>
      <c r="F29" s="4" t="e">
        <f t="shared" si="9"/>
        <v>#N/A</v>
      </c>
      <c r="G29" s="13"/>
      <c r="H29" s="4" t="e">
        <f t="shared" si="10"/>
        <v>#N/A</v>
      </c>
      <c r="I29" s="4" t="e">
        <f t="shared" si="11"/>
        <v>#N/A</v>
      </c>
      <c r="J29" s="12" t="e">
        <f t="shared" si="12"/>
        <v>#N/A</v>
      </c>
      <c r="K29" s="12" t="e">
        <f t="shared" si="13"/>
        <v>#N/A</v>
      </c>
    </row>
    <row r="30" spans="1:11" x14ac:dyDescent="0.3">
      <c r="A30" s="3">
        <v>21</v>
      </c>
      <c r="B30" s="3">
        <f t="shared" si="3"/>
        <v>0</v>
      </c>
      <c r="C30" s="3">
        <f t="shared" si="4"/>
        <v>0</v>
      </c>
      <c r="D30" s="3">
        <f t="shared" si="5"/>
        <v>0</v>
      </c>
      <c r="E30" s="4" t="e">
        <f t="shared" si="8"/>
        <v>#N/A</v>
      </c>
      <c r="F30" s="4" t="e">
        <f t="shared" si="9"/>
        <v>#N/A</v>
      </c>
      <c r="G30" s="13"/>
      <c r="H30" s="4" t="e">
        <f t="shared" si="10"/>
        <v>#N/A</v>
      </c>
      <c r="I30" s="4" t="e">
        <f t="shared" si="11"/>
        <v>#N/A</v>
      </c>
      <c r="J30" s="12" t="e">
        <f t="shared" si="12"/>
        <v>#N/A</v>
      </c>
      <c r="K30" s="12" t="e">
        <f t="shared" si="13"/>
        <v>#N/A</v>
      </c>
    </row>
    <row r="31" spans="1:11" x14ac:dyDescent="0.3">
      <c r="A31" s="3">
        <v>22</v>
      </c>
      <c r="B31" s="3">
        <f t="shared" si="3"/>
        <v>0</v>
      </c>
      <c r="C31" s="3">
        <f t="shared" si="4"/>
        <v>0</v>
      </c>
      <c r="D31" s="3">
        <f t="shared" si="5"/>
        <v>0</v>
      </c>
      <c r="E31" s="4" t="e">
        <f t="shared" si="8"/>
        <v>#N/A</v>
      </c>
      <c r="F31" s="4" t="e">
        <f t="shared" si="9"/>
        <v>#N/A</v>
      </c>
      <c r="G31" s="13"/>
      <c r="H31" s="4" t="e">
        <f t="shared" si="10"/>
        <v>#N/A</v>
      </c>
      <c r="I31" s="4" t="e">
        <f t="shared" si="11"/>
        <v>#N/A</v>
      </c>
      <c r="J31" s="12" t="e">
        <f t="shared" si="12"/>
        <v>#N/A</v>
      </c>
      <c r="K31" s="12" t="e">
        <f t="shared" si="13"/>
        <v>#N/A</v>
      </c>
    </row>
    <row r="32" spans="1:11" x14ac:dyDescent="0.3">
      <c r="A32" s="3">
        <v>23</v>
      </c>
      <c r="B32" s="3">
        <f t="shared" si="3"/>
        <v>0</v>
      </c>
      <c r="C32" s="3">
        <f t="shared" si="4"/>
        <v>0</v>
      </c>
      <c r="D32" s="3">
        <f t="shared" si="5"/>
        <v>0</v>
      </c>
      <c r="E32" s="4" t="e">
        <f t="shared" si="8"/>
        <v>#N/A</v>
      </c>
      <c r="F32" s="4" t="e">
        <f t="shared" si="9"/>
        <v>#N/A</v>
      </c>
      <c r="G32" s="13"/>
      <c r="H32" s="4" t="e">
        <f t="shared" si="10"/>
        <v>#N/A</v>
      </c>
      <c r="I32" s="4" t="e">
        <f t="shared" si="11"/>
        <v>#N/A</v>
      </c>
      <c r="J32" s="12" t="e">
        <f t="shared" si="12"/>
        <v>#N/A</v>
      </c>
      <c r="K32" s="12" t="e">
        <f t="shared" si="13"/>
        <v>#N/A</v>
      </c>
    </row>
    <row r="33" spans="1:11" x14ac:dyDescent="0.3">
      <c r="A33" s="3">
        <v>24</v>
      </c>
      <c r="B33" s="3">
        <f t="shared" si="3"/>
        <v>0</v>
      </c>
      <c r="C33" s="3">
        <f t="shared" si="4"/>
        <v>0</v>
      </c>
      <c r="D33" s="3">
        <f t="shared" si="5"/>
        <v>0</v>
      </c>
      <c r="E33" s="4" t="e">
        <f t="shared" si="8"/>
        <v>#N/A</v>
      </c>
      <c r="F33" s="4" t="e">
        <f t="shared" si="9"/>
        <v>#N/A</v>
      </c>
      <c r="G33" s="13"/>
      <c r="H33" s="4" t="e">
        <f t="shared" si="10"/>
        <v>#N/A</v>
      </c>
      <c r="I33" s="4" t="e">
        <f t="shared" si="11"/>
        <v>#N/A</v>
      </c>
      <c r="J33" s="12" t="e">
        <f t="shared" si="12"/>
        <v>#N/A</v>
      </c>
      <c r="K33" s="12" t="e">
        <f t="shared" si="13"/>
        <v>#N/A</v>
      </c>
    </row>
    <row r="34" spans="1:11" x14ac:dyDescent="0.3">
      <c r="A34" s="3">
        <v>25</v>
      </c>
      <c r="B34" s="3">
        <f t="shared" si="3"/>
        <v>0</v>
      </c>
      <c r="C34" s="3">
        <f t="shared" si="4"/>
        <v>0</v>
      </c>
      <c r="D34" s="3">
        <f t="shared" si="5"/>
        <v>0</v>
      </c>
      <c r="E34" s="4" t="e">
        <f t="shared" si="8"/>
        <v>#N/A</v>
      </c>
      <c r="F34" s="4" t="e">
        <f t="shared" si="9"/>
        <v>#N/A</v>
      </c>
      <c r="G34" s="13"/>
      <c r="H34" s="4" t="e">
        <f t="shared" si="10"/>
        <v>#N/A</v>
      </c>
      <c r="I34" s="4" t="e">
        <f t="shared" si="11"/>
        <v>#N/A</v>
      </c>
      <c r="J34" s="12" t="e">
        <f t="shared" si="12"/>
        <v>#N/A</v>
      </c>
      <c r="K34" s="12" t="e">
        <f t="shared" si="13"/>
        <v>#N/A</v>
      </c>
    </row>
    <row r="35" spans="1:11" x14ac:dyDescent="0.3">
      <c r="A35" s="3">
        <v>26</v>
      </c>
      <c r="B35" s="3">
        <f t="shared" si="3"/>
        <v>0</v>
      </c>
      <c r="C35" s="3">
        <f t="shared" si="4"/>
        <v>0</v>
      </c>
      <c r="D35" s="3">
        <f t="shared" si="5"/>
        <v>0</v>
      </c>
      <c r="E35" s="4" t="e">
        <f t="shared" si="8"/>
        <v>#N/A</v>
      </c>
      <c r="F35" s="4" t="e">
        <f t="shared" si="9"/>
        <v>#N/A</v>
      </c>
      <c r="G35" s="13"/>
      <c r="H35" s="4" t="e">
        <f t="shared" si="10"/>
        <v>#N/A</v>
      </c>
      <c r="I35" s="4" t="e">
        <f t="shared" si="11"/>
        <v>#N/A</v>
      </c>
      <c r="J35" s="12" t="e">
        <f t="shared" si="12"/>
        <v>#N/A</v>
      </c>
      <c r="K35" s="12" t="e">
        <f t="shared" si="13"/>
        <v>#N/A</v>
      </c>
    </row>
    <row r="36" spans="1:11" x14ac:dyDescent="0.3">
      <c r="A36" s="3">
        <v>27</v>
      </c>
      <c r="B36" s="3">
        <f t="shared" si="3"/>
        <v>0</v>
      </c>
      <c r="C36" s="3">
        <f t="shared" si="4"/>
        <v>0</v>
      </c>
      <c r="D36" s="3">
        <f t="shared" si="5"/>
        <v>0</v>
      </c>
      <c r="E36" s="4" t="e">
        <f t="shared" si="8"/>
        <v>#N/A</v>
      </c>
      <c r="F36" s="4" t="e">
        <f t="shared" si="9"/>
        <v>#N/A</v>
      </c>
      <c r="G36" s="13"/>
      <c r="H36" s="4" t="e">
        <f t="shared" si="10"/>
        <v>#N/A</v>
      </c>
      <c r="I36" s="4" t="e">
        <f t="shared" si="11"/>
        <v>#N/A</v>
      </c>
      <c r="J36" s="12" t="e">
        <f t="shared" si="12"/>
        <v>#N/A</v>
      </c>
      <c r="K36" s="12" t="e">
        <f t="shared" si="13"/>
        <v>#N/A</v>
      </c>
    </row>
    <row r="37" spans="1:11" x14ac:dyDescent="0.3">
      <c r="A37" s="3">
        <v>28</v>
      </c>
      <c r="B37" s="3">
        <f t="shared" si="3"/>
        <v>0</v>
      </c>
      <c r="C37" s="3">
        <f t="shared" si="4"/>
        <v>0</v>
      </c>
      <c r="D37" s="3">
        <f t="shared" si="5"/>
        <v>0</v>
      </c>
      <c r="E37" s="4" t="e">
        <f t="shared" si="8"/>
        <v>#N/A</v>
      </c>
      <c r="F37" s="4" t="e">
        <f t="shared" si="9"/>
        <v>#N/A</v>
      </c>
      <c r="G37" s="13"/>
      <c r="H37" s="4" t="e">
        <f t="shared" si="10"/>
        <v>#N/A</v>
      </c>
      <c r="I37" s="4" t="e">
        <f t="shared" si="11"/>
        <v>#N/A</v>
      </c>
      <c r="J37" s="12" t="e">
        <f t="shared" si="12"/>
        <v>#N/A</v>
      </c>
      <c r="K37" s="12" t="e">
        <f t="shared" si="13"/>
        <v>#N/A</v>
      </c>
    </row>
    <row r="38" spans="1:11" x14ac:dyDescent="0.3">
      <c r="A38" s="3">
        <v>29</v>
      </c>
      <c r="B38" s="3">
        <f t="shared" si="3"/>
        <v>0</v>
      </c>
      <c r="C38" s="3">
        <f t="shared" si="4"/>
        <v>0</v>
      </c>
      <c r="D38" s="3">
        <f t="shared" si="5"/>
        <v>0</v>
      </c>
      <c r="E38" s="4" t="e">
        <f t="shared" si="8"/>
        <v>#N/A</v>
      </c>
      <c r="F38" s="4" t="e">
        <f t="shared" si="9"/>
        <v>#N/A</v>
      </c>
      <c r="G38" s="13"/>
      <c r="H38" s="4" t="e">
        <f t="shared" si="10"/>
        <v>#N/A</v>
      </c>
      <c r="I38" s="4" t="e">
        <f t="shared" si="11"/>
        <v>#N/A</v>
      </c>
      <c r="J38" s="12" t="e">
        <f t="shared" si="12"/>
        <v>#N/A</v>
      </c>
      <c r="K38" s="12" t="e">
        <f t="shared" si="13"/>
        <v>#N/A</v>
      </c>
    </row>
    <row r="39" spans="1:11" x14ac:dyDescent="0.3">
      <c r="A39" s="3">
        <v>30</v>
      </c>
      <c r="B39" s="3">
        <f t="shared" si="3"/>
        <v>0</v>
      </c>
      <c r="C39" s="3">
        <f t="shared" si="4"/>
        <v>0</v>
      </c>
      <c r="D39" s="3">
        <f t="shared" si="5"/>
        <v>0</v>
      </c>
      <c r="E39" s="4" t="e">
        <f t="shared" si="8"/>
        <v>#N/A</v>
      </c>
      <c r="F39" s="4" t="e">
        <f t="shared" si="9"/>
        <v>#N/A</v>
      </c>
      <c r="G39" s="13"/>
      <c r="H39" s="4" t="e">
        <f t="shared" si="10"/>
        <v>#N/A</v>
      </c>
      <c r="I39" s="4" t="e">
        <f t="shared" si="11"/>
        <v>#N/A</v>
      </c>
      <c r="J39" s="12" t="e">
        <f t="shared" si="12"/>
        <v>#N/A</v>
      </c>
      <c r="K39" s="12" t="e">
        <f t="shared" si="13"/>
        <v>#N/A</v>
      </c>
    </row>
    <row r="40" spans="1:11" x14ac:dyDescent="0.3">
      <c r="A40" s="3">
        <v>31</v>
      </c>
      <c r="B40" s="3">
        <f t="shared" si="3"/>
        <v>0</v>
      </c>
      <c r="C40" s="3">
        <f t="shared" si="4"/>
        <v>0</v>
      </c>
      <c r="D40" s="3">
        <f t="shared" si="5"/>
        <v>0</v>
      </c>
      <c r="E40" s="4" t="e">
        <f t="shared" si="8"/>
        <v>#N/A</v>
      </c>
      <c r="F40" s="4" t="e">
        <f t="shared" si="9"/>
        <v>#N/A</v>
      </c>
      <c r="G40" s="13"/>
      <c r="H40" s="4" t="e">
        <f t="shared" si="10"/>
        <v>#N/A</v>
      </c>
      <c r="I40" s="4" t="e">
        <f t="shared" si="11"/>
        <v>#N/A</v>
      </c>
      <c r="J40" s="12" t="e">
        <f t="shared" si="12"/>
        <v>#N/A</v>
      </c>
      <c r="K40" s="12" t="e">
        <f t="shared" si="13"/>
        <v>#N/A</v>
      </c>
    </row>
    <row r="41" spans="1:11" x14ac:dyDescent="0.3">
      <c r="A41" s="3">
        <v>32</v>
      </c>
      <c r="B41" s="3">
        <f t="shared" si="3"/>
        <v>0</v>
      </c>
      <c r="C41" s="3">
        <f t="shared" si="4"/>
        <v>0</v>
      </c>
      <c r="D41" s="3">
        <f t="shared" si="5"/>
        <v>0</v>
      </c>
      <c r="E41" s="4" t="e">
        <f t="shared" si="8"/>
        <v>#N/A</v>
      </c>
      <c r="F41" s="4" t="e">
        <f t="shared" si="9"/>
        <v>#N/A</v>
      </c>
      <c r="G41" s="13"/>
      <c r="H41" s="4" t="e">
        <f t="shared" si="10"/>
        <v>#N/A</v>
      </c>
      <c r="I41" s="4" t="e">
        <f t="shared" si="11"/>
        <v>#N/A</v>
      </c>
      <c r="J41" s="12" t="e">
        <f t="shared" si="12"/>
        <v>#N/A</v>
      </c>
      <c r="K41" s="12" t="e">
        <f t="shared" si="13"/>
        <v>#N/A</v>
      </c>
    </row>
    <row r="42" spans="1:11" x14ac:dyDescent="0.3">
      <c r="A42" s="3">
        <v>33</v>
      </c>
      <c r="B42" s="3">
        <f t="shared" si="3"/>
        <v>0</v>
      </c>
      <c r="C42" s="3">
        <f t="shared" si="4"/>
        <v>0</v>
      </c>
      <c r="D42" s="3">
        <f t="shared" si="5"/>
        <v>0</v>
      </c>
      <c r="E42" s="4" t="e">
        <f t="shared" si="8"/>
        <v>#N/A</v>
      </c>
      <c r="F42" s="4" t="e">
        <f t="shared" si="9"/>
        <v>#N/A</v>
      </c>
      <c r="G42" s="13"/>
      <c r="H42" s="4" t="e">
        <f t="shared" si="10"/>
        <v>#N/A</v>
      </c>
      <c r="I42" s="4" t="e">
        <f t="shared" si="11"/>
        <v>#N/A</v>
      </c>
      <c r="J42" s="12" t="e">
        <f t="shared" si="12"/>
        <v>#N/A</v>
      </c>
      <c r="K42" s="12" t="e">
        <f t="shared" si="13"/>
        <v>#N/A</v>
      </c>
    </row>
    <row r="43" spans="1:11" x14ac:dyDescent="0.3">
      <c r="A43" s="3">
        <v>34</v>
      </c>
      <c r="B43" s="3">
        <f t="shared" si="3"/>
        <v>0</v>
      </c>
      <c r="C43" s="3">
        <f t="shared" si="4"/>
        <v>0</v>
      </c>
      <c r="D43" s="3">
        <f t="shared" si="5"/>
        <v>0</v>
      </c>
      <c r="E43" s="4" t="e">
        <f t="shared" si="8"/>
        <v>#N/A</v>
      </c>
      <c r="F43" s="4" t="e">
        <f t="shared" si="9"/>
        <v>#N/A</v>
      </c>
      <c r="G43" s="13"/>
      <c r="H43" s="4" t="e">
        <f t="shared" si="10"/>
        <v>#N/A</v>
      </c>
      <c r="I43" s="4" t="e">
        <f t="shared" si="11"/>
        <v>#N/A</v>
      </c>
      <c r="J43" s="12" t="e">
        <f t="shared" si="12"/>
        <v>#N/A</v>
      </c>
      <c r="K43" s="12" t="e">
        <f t="shared" si="13"/>
        <v>#N/A</v>
      </c>
    </row>
    <row r="44" spans="1:11" x14ac:dyDescent="0.3">
      <c r="A44" s="3">
        <v>35</v>
      </c>
      <c r="B44" s="3">
        <f t="shared" si="3"/>
        <v>0</v>
      </c>
      <c r="C44" s="3">
        <f t="shared" si="4"/>
        <v>0</v>
      </c>
      <c r="D44" s="3">
        <f t="shared" si="5"/>
        <v>0</v>
      </c>
      <c r="E44" s="4" t="e">
        <f t="shared" si="8"/>
        <v>#N/A</v>
      </c>
      <c r="F44" s="4" t="e">
        <f t="shared" si="9"/>
        <v>#N/A</v>
      </c>
      <c r="G44" s="13"/>
      <c r="H44" s="4" t="e">
        <f t="shared" si="10"/>
        <v>#N/A</v>
      </c>
      <c r="I44" s="4" t="e">
        <f t="shared" si="11"/>
        <v>#N/A</v>
      </c>
      <c r="J44" s="12" t="e">
        <f t="shared" si="12"/>
        <v>#N/A</v>
      </c>
      <c r="K44" s="12" t="e">
        <f t="shared" si="13"/>
        <v>#N/A</v>
      </c>
    </row>
    <row r="45" spans="1:11" x14ac:dyDescent="0.3">
      <c r="A45" s="3">
        <v>36</v>
      </c>
      <c r="B45" s="3">
        <f t="shared" si="3"/>
        <v>0</v>
      </c>
      <c r="C45" s="3">
        <f t="shared" si="4"/>
        <v>0</v>
      </c>
      <c r="D45" s="3">
        <f t="shared" si="5"/>
        <v>0</v>
      </c>
      <c r="E45" s="4" t="e">
        <f t="shared" si="8"/>
        <v>#N/A</v>
      </c>
      <c r="F45" s="4" t="e">
        <f t="shared" ref="F45:F55" si="14">2*D45+PI()*E45</f>
        <v>#N/A</v>
      </c>
      <c r="G45" s="13"/>
      <c r="H45" s="4" t="e">
        <f t="shared" ref="H45:H55" si="15">C45*(B45-C45)*PI()*F45*$C$5*0.001*0.001</f>
        <v>#N/A</v>
      </c>
      <c r="I45" s="4" t="e">
        <f t="shared" ref="I45:I55" si="16">G45*H45</f>
        <v>#N/A</v>
      </c>
      <c r="J45" s="12" t="e">
        <f t="shared" ref="J45:J55" si="17">PI()/4*(B45-2*C45)^2*F45*0.001*0.001*0.001*G45</f>
        <v>#N/A</v>
      </c>
      <c r="K45" s="12" t="e">
        <f t="shared" ref="K45:K55" si="18">PI()/4*B45^2*(F45-2*$E$5)*0.001*0.001*0.001*G45</f>
        <v>#N/A</v>
      </c>
    </row>
    <row r="46" spans="1:11" x14ac:dyDescent="0.3">
      <c r="A46" s="3">
        <v>37</v>
      </c>
      <c r="B46" s="3">
        <f t="shared" si="3"/>
        <v>0</v>
      </c>
      <c r="C46" s="3">
        <f t="shared" si="4"/>
        <v>0</v>
      </c>
      <c r="D46" s="3">
        <f t="shared" si="5"/>
        <v>0</v>
      </c>
      <c r="E46" s="4" t="e">
        <f t="shared" si="8"/>
        <v>#N/A</v>
      </c>
      <c r="F46" s="4" t="e">
        <f t="shared" si="14"/>
        <v>#N/A</v>
      </c>
      <c r="G46" s="13"/>
      <c r="H46" s="4" t="e">
        <f t="shared" si="15"/>
        <v>#N/A</v>
      </c>
      <c r="I46" s="4" t="e">
        <f t="shared" si="16"/>
        <v>#N/A</v>
      </c>
      <c r="J46" s="12" t="e">
        <f t="shared" si="17"/>
        <v>#N/A</v>
      </c>
      <c r="K46" s="12" t="e">
        <f t="shared" si="18"/>
        <v>#N/A</v>
      </c>
    </row>
    <row r="47" spans="1:11" x14ac:dyDescent="0.3">
      <c r="A47" s="3">
        <v>38</v>
      </c>
      <c r="B47" s="3">
        <f t="shared" si="3"/>
        <v>0</v>
      </c>
      <c r="C47" s="3">
        <f t="shared" si="4"/>
        <v>0</v>
      </c>
      <c r="D47" s="3">
        <f t="shared" si="5"/>
        <v>0</v>
      </c>
      <c r="E47" s="4" t="e">
        <f t="shared" si="8"/>
        <v>#N/A</v>
      </c>
      <c r="F47" s="4" t="e">
        <f t="shared" si="14"/>
        <v>#N/A</v>
      </c>
      <c r="G47" s="13"/>
      <c r="H47" s="4" t="e">
        <f t="shared" si="15"/>
        <v>#N/A</v>
      </c>
      <c r="I47" s="4" t="e">
        <f t="shared" si="16"/>
        <v>#N/A</v>
      </c>
      <c r="J47" s="12" t="e">
        <f t="shared" si="17"/>
        <v>#N/A</v>
      </c>
      <c r="K47" s="12" t="e">
        <f t="shared" si="18"/>
        <v>#N/A</v>
      </c>
    </row>
    <row r="48" spans="1:11" x14ac:dyDescent="0.3">
      <c r="A48" s="3">
        <v>39</v>
      </c>
      <c r="B48" s="3">
        <f t="shared" si="3"/>
        <v>0</v>
      </c>
      <c r="C48" s="3">
        <f t="shared" si="4"/>
        <v>0</v>
      </c>
      <c r="D48" s="3">
        <f t="shared" si="5"/>
        <v>0</v>
      </c>
      <c r="E48" s="4" t="e">
        <f t="shared" si="8"/>
        <v>#N/A</v>
      </c>
      <c r="F48" s="4" t="e">
        <f t="shared" si="14"/>
        <v>#N/A</v>
      </c>
      <c r="G48" s="13"/>
      <c r="H48" s="4" t="e">
        <f t="shared" si="15"/>
        <v>#N/A</v>
      </c>
      <c r="I48" s="4" t="e">
        <f t="shared" si="16"/>
        <v>#N/A</v>
      </c>
      <c r="J48" s="12" t="e">
        <f t="shared" si="17"/>
        <v>#N/A</v>
      </c>
      <c r="K48" s="12" t="e">
        <f t="shared" si="18"/>
        <v>#N/A</v>
      </c>
    </row>
    <row r="49" spans="1:11" x14ac:dyDescent="0.3">
      <c r="A49" s="3">
        <v>40</v>
      </c>
      <c r="B49" s="3">
        <f t="shared" si="3"/>
        <v>0</v>
      </c>
      <c r="C49" s="3">
        <f t="shared" si="4"/>
        <v>0</v>
      </c>
      <c r="D49" s="3">
        <f t="shared" si="5"/>
        <v>0</v>
      </c>
      <c r="E49" s="4" t="e">
        <f t="shared" si="8"/>
        <v>#N/A</v>
      </c>
      <c r="F49" s="4" t="e">
        <f t="shared" si="14"/>
        <v>#N/A</v>
      </c>
      <c r="G49" s="13"/>
      <c r="H49" s="4" t="e">
        <f t="shared" si="15"/>
        <v>#N/A</v>
      </c>
      <c r="I49" s="4" t="e">
        <f t="shared" si="16"/>
        <v>#N/A</v>
      </c>
      <c r="J49" s="12" t="e">
        <f t="shared" si="17"/>
        <v>#N/A</v>
      </c>
      <c r="K49" s="12" t="e">
        <f t="shared" si="18"/>
        <v>#N/A</v>
      </c>
    </row>
    <row r="50" spans="1:11" x14ac:dyDescent="0.3">
      <c r="A50" s="3">
        <v>41</v>
      </c>
      <c r="B50" s="3">
        <f t="shared" si="3"/>
        <v>0</v>
      </c>
      <c r="C50" s="3">
        <f t="shared" si="4"/>
        <v>0</v>
      </c>
      <c r="D50" s="3">
        <f t="shared" si="5"/>
        <v>0</v>
      </c>
      <c r="E50" s="4" t="e">
        <f t="shared" si="8"/>
        <v>#N/A</v>
      </c>
      <c r="F50" s="4" t="e">
        <f t="shared" si="14"/>
        <v>#N/A</v>
      </c>
      <c r="G50" s="13"/>
      <c r="H50" s="4" t="e">
        <f t="shared" si="15"/>
        <v>#N/A</v>
      </c>
      <c r="I50" s="4" t="e">
        <f t="shared" si="16"/>
        <v>#N/A</v>
      </c>
      <c r="J50" s="12" t="e">
        <f t="shared" si="17"/>
        <v>#N/A</v>
      </c>
      <c r="K50" s="12" t="e">
        <f t="shared" si="18"/>
        <v>#N/A</v>
      </c>
    </row>
    <row r="51" spans="1:11" x14ac:dyDescent="0.3">
      <c r="A51" s="3">
        <v>42</v>
      </c>
      <c r="B51" s="3">
        <f t="shared" si="3"/>
        <v>0</v>
      </c>
      <c r="C51" s="3">
        <f t="shared" si="4"/>
        <v>0</v>
      </c>
      <c r="D51" s="3">
        <f t="shared" si="5"/>
        <v>0</v>
      </c>
      <c r="E51" s="4" t="e">
        <f t="shared" si="8"/>
        <v>#N/A</v>
      </c>
      <c r="F51" s="4" t="e">
        <f t="shared" si="14"/>
        <v>#N/A</v>
      </c>
      <c r="G51" s="13"/>
      <c r="H51" s="4" t="e">
        <f t="shared" si="15"/>
        <v>#N/A</v>
      </c>
      <c r="I51" s="4" t="e">
        <f t="shared" si="16"/>
        <v>#N/A</v>
      </c>
      <c r="J51" s="12" t="e">
        <f t="shared" si="17"/>
        <v>#N/A</v>
      </c>
      <c r="K51" s="12" t="e">
        <f t="shared" si="18"/>
        <v>#N/A</v>
      </c>
    </row>
    <row r="52" spans="1:11" x14ac:dyDescent="0.3">
      <c r="A52" s="3">
        <v>43</v>
      </c>
      <c r="B52" s="3">
        <f t="shared" si="3"/>
        <v>0</v>
      </c>
      <c r="C52" s="3">
        <f t="shared" si="4"/>
        <v>0</v>
      </c>
      <c r="D52" s="3">
        <f t="shared" si="5"/>
        <v>0</v>
      </c>
      <c r="E52" s="4" t="e">
        <f t="shared" si="8"/>
        <v>#N/A</v>
      </c>
      <c r="F52" s="4" t="e">
        <f t="shared" si="14"/>
        <v>#N/A</v>
      </c>
      <c r="G52" s="13"/>
      <c r="H52" s="4" t="e">
        <f t="shared" si="15"/>
        <v>#N/A</v>
      </c>
      <c r="I52" s="4" t="e">
        <f t="shared" si="16"/>
        <v>#N/A</v>
      </c>
      <c r="J52" s="12" t="e">
        <f t="shared" si="17"/>
        <v>#N/A</v>
      </c>
      <c r="K52" s="12" t="e">
        <f t="shared" si="18"/>
        <v>#N/A</v>
      </c>
    </row>
    <row r="53" spans="1:11" x14ac:dyDescent="0.3">
      <c r="A53" s="3">
        <v>44</v>
      </c>
      <c r="B53" s="3">
        <f t="shared" si="3"/>
        <v>0</v>
      </c>
      <c r="C53" s="3">
        <f t="shared" si="4"/>
        <v>0</v>
      </c>
      <c r="D53" s="3">
        <f t="shared" si="5"/>
        <v>0</v>
      </c>
      <c r="E53" s="4" t="e">
        <f t="shared" si="8"/>
        <v>#N/A</v>
      </c>
      <c r="F53" s="4" t="e">
        <f t="shared" si="14"/>
        <v>#N/A</v>
      </c>
      <c r="G53" s="13"/>
      <c r="H53" s="4" t="e">
        <f t="shared" si="15"/>
        <v>#N/A</v>
      </c>
      <c r="I53" s="4" t="e">
        <f t="shared" si="16"/>
        <v>#N/A</v>
      </c>
      <c r="J53" s="12" t="e">
        <f t="shared" si="17"/>
        <v>#N/A</v>
      </c>
      <c r="K53" s="12" t="e">
        <f t="shared" si="18"/>
        <v>#N/A</v>
      </c>
    </row>
    <row r="54" spans="1:11" x14ac:dyDescent="0.3">
      <c r="A54" s="3">
        <v>45</v>
      </c>
      <c r="B54" s="3">
        <f t="shared" si="3"/>
        <v>0</v>
      </c>
      <c r="C54" s="3">
        <f t="shared" si="4"/>
        <v>0</v>
      </c>
      <c r="D54" s="3">
        <f t="shared" si="5"/>
        <v>0</v>
      </c>
      <c r="E54" s="4" t="e">
        <f t="shared" si="8"/>
        <v>#N/A</v>
      </c>
      <c r="F54" s="4" t="e">
        <f t="shared" si="14"/>
        <v>#N/A</v>
      </c>
      <c r="G54" s="13"/>
      <c r="H54" s="4" t="e">
        <f t="shared" si="15"/>
        <v>#N/A</v>
      </c>
      <c r="I54" s="4" t="e">
        <f t="shared" si="16"/>
        <v>#N/A</v>
      </c>
      <c r="J54" s="12" t="e">
        <f t="shared" si="17"/>
        <v>#N/A</v>
      </c>
      <c r="K54" s="12" t="e">
        <f t="shared" si="18"/>
        <v>#N/A</v>
      </c>
    </row>
    <row r="55" spans="1:11" x14ac:dyDescent="0.3">
      <c r="A55" s="3">
        <v>46</v>
      </c>
      <c r="B55" s="3">
        <f t="shared" si="3"/>
        <v>0</v>
      </c>
      <c r="C55" s="3">
        <f t="shared" si="4"/>
        <v>0</v>
      </c>
      <c r="D55" s="3">
        <f t="shared" si="5"/>
        <v>0</v>
      </c>
      <c r="E55" s="4" t="e">
        <f t="shared" si="8"/>
        <v>#N/A</v>
      </c>
      <c r="F55" s="4" t="e">
        <f t="shared" si="14"/>
        <v>#N/A</v>
      </c>
      <c r="G55" s="13"/>
      <c r="H55" s="4" t="e">
        <f t="shared" si="15"/>
        <v>#N/A</v>
      </c>
      <c r="I55" s="4" t="e">
        <f t="shared" si="16"/>
        <v>#N/A</v>
      </c>
      <c r="J55" s="12" t="e">
        <f t="shared" si="17"/>
        <v>#N/A</v>
      </c>
      <c r="K55" s="12" t="e">
        <f t="shared" si="18"/>
        <v>#N/A</v>
      </c>
    </row>
    <row r="56" spans="1:11" ht="8.4499999999999993" customHeight="1" x14ac:dyDescent="0.3">
      <c r="E56" s="1"/>
      <c r="F56" s="1"/>
      <c r="H56" s="1"/>
      <c r="I56" s="1"/>
    </row>
    <row r="57" spans="1:11" x14ac:dyDescent="0.3">
      <c r="E57" s="1"/>
      <c r="F57" s="1"/>
      <c r="G57" s="1"/>
      <c r="H57" s="1"/>
      <c r="I57" s="1"/>
    </row>
    <row r="58" spans="1:11" x14ac:dyDescent="0.3">
      <c r="E58" s="1"/>
      <c r="F58" s="1"/>
      <c r="H58" s="1"/>
      <c r="I58" s="1"/>
    </row>
    <row r="59" spans="1:11" x14ac:dyDescent="0.3">
      <c r="E59" s="1"/>
      <c r="F59" s="1"/>
      <c r="H59" s="1"/>
      <c r="I59" s="1"/>
    </row>
    <row r="60" spans="1:11" x14ac:dyDescent="0.3">
      <c r="E60" s="1"/>
      <c r="F60" s="1"/>
      <c r="H60" s="1"/>
      <c r="I60" s="1"/>
    </row>
  </sheetData>
  <phoneticPr fontId="1" type="noConversion"/>
  <dataValidations count="1">
    <dataValidation type="list" allowBlank="1" showInputMessage="1" showErrorMessage="1" sqref="E4" xr:uid="{00000000-0002-0000-0000-000000000000}">
      <formula1>$N$2:$N$5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U型管明细</vt:lpstr>
      <vt:lpstr>U型管明细!Print_Area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2025-09-26T06:19:59Z</dcterms:modified>
</cp:coreProperties>
</file>