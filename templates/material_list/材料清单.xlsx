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ongLanpec\templates\material_list\"/>
    </mc:Choice>
  </mc:AlternateContent>
  <bookViews>
    <workbookView windowWidth="24345" windowHeight="11805"/>
  </bookViews>
  <sheets>
    <sheet name="产品制造类项目预算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<sst xmlns="http://schemas.openxmlformats.org/spreadsheetml/2006/main" count="100" uniqueCount="97">
  <si>
    <r>
      <rPr>
        <b/>
        <sz val="16"/>
        <color theme="1"/>
        <rFont val="等线"/>
        <charset val="134"/>
      </rPr>
      <t>产品制造类设备预算表</t>
    </r>
  </si>
  <si>
    <r>
      <rPr>
        <b/>
        <sz val="10"/>
        <rFont val="等线"/>
        <charset val="134"/>
      </rPr>
      <t>设备位号</t>
    </r>
    <r>
      <rPr>
        <b/>
        <sz val="10"/>
        <rFont val="Calibri"/>
        <charset val="134"/>
      </rPr>
      <t>/</t>
    </r>
    <r>
      <rPr>
        <b/>
        <sz val="10"/>
        <rFont val="等线"/>
        <charset val="134"/>
      </rPr>
      <t>名称</t>
    </r>
    <r>
      <rPr>
        <b/>
        <sz val="10"/>
        <rFont val="Calibri"/>
        <charset val="134"/>
      </rPr>
      <t>/</t>
    </r>
    <r>
      <rPr>
        <b/>
        <sz val="10"/>
        <rFont val="等线"/>
        <charset val="134"/>
      </rPr>
      <t>规格型号</t>
    </r>
  </si>
  <si>
    <r>
      <rPr>
        <b/>
        <sz val="10"/>
        <rFont val="微软雅黑"/>
        <charset val="134"/>
      </rPr>
      <t>设备位号</t>
    </r>
    <r>
      <rPr>
        <b/>
        <sz val="10"/>
        <rFont val="Calibri"/>
        <charset val="134"/>
      </rPr>
      <t>/</t>
    </r>
    <r>
      <rPr>
        <b/>
        <sz val="10"/>
        <rFont val="微软雅黑"/>
        <charset val="134"/>
      </rPr>
      <t>设备名称</t>
    </r>
    <r>
      <rPr>
        <b/>
        <sz val="10"/>
        <rFont val="Calibri"/>
        <charset val="134"/>
      </rPr>
      <t>/</t>
    </r>
    <r>
      <rPr>
        <b/>
        <sz val="10"/>
        <rFont val="微软雅黑"/>
        <charset val="134"/>
      </rPr>
      <t>型式</t>
    </r>
    <r>
      <rPr>
        <b/>
        <sz val="10"/>
        <rFont val="Calibri"/>
        <charset val="134"/>
      </rPr>
      <t>/</t>
    </r>
    <r>
      <rPr>
        <b/>
        <sz val="10"/>
        <rFont val="微软雅黑"/>
        <charset val="134"/>
      </rPr>
      <t>管程公称直径</t>
    </r>
    <r>
      <rPr>
        <b/>
        <sz val="10"/>
        <rFont val="Calibri"/>
        <charset val="134"/>
      </rPr>
      <t>*</t>
    </r>
    <r>
      <rPr>
        <b/>
        <sz val="10"/>
        <rFont val="微软雅黑"/>
        <charset val="134"/>
      </rPr>
      <t>换热管公称长度</t>
    </r>
    <r>
      <rPr>
        <b/>
        <sz val="10"/>
        <rFont val="Calibri"/>
        <charset val="134"/>
      </rPr>
      <t xml:space="preserve">
</t>
    </r>
    <r>
      <rPr>
        <b/>
        <sz val="10"/>
        <rFont val="微软雅黑"/>
        <charset val="134"/>
      </rPr>
      <t>（举例：</t>
    </r>
    <r>
      <rPr>
        <b/>
        <sz val="10"/>
        <rFont val="Calibri"/>
        <charset val="134"/>
      </rPr>
      <t>E-1101/</t>
    </r>
    <r>
      <rPr>
        <b/>
        <sz val="10"/>
        <rFont val="微软雅黑"/>
        <charset val="134"/>
      </rPr>
      <t>换热器</t>
    </r>
    <r>
      <rPr>
        <b/>
        <sz val="10"/>
        <rFont val="Calibri"/>
        <charset val="134"/>
      </rPr>
      <t>/BES1000*6000</t>
    </r>
    <r>
      <rPr>
        <b/>
        <sz val="10"/>
        <rFont val="微软雅黑"/>
        <charset val="134"/>
      </rPr>
      <t>）</t>
    </r>
  </si>
  <si>
    <r>
      <rPr>
        <b/>
        <sz val="10"/>
        <rFont val="等线"/>
        <charset val="134"/>
      </rPr>
      <t>数量</t>
    </r>
    <r>
      <rPr>
        <b/>
        <sz val="10"/>
        <rFont val="Calibri"/>
        <charset val="134"/>
      </rPr>
      <t>-</t>
    </r>
    <r>
      <rPr>
        <b/>
        <sz val="10"/>
        <rFont val="等线"/>
        <charset val="134"/>
      </rPr>
      <t>台</t>
    </r>
    <r>
      <rPr>
        <b/>
        <sz val="10"/>
        <rFont val="Calibri"/>
        <charset val="134"/>
      </rPr>
      <t>(</t>
    </r>
    <r>
      <rPr>
        <b/>
        <sz val="10"/>
        <rFont val="等线"/>
        <charset val="134"/>
      </rPr>
      <t>套</t>
    </r>
    <r>
      <rPr>
        <b/>
        <sz val="10"/>
        <rFont val="Calibri"/>
        <charset val="134"/>
      </rPr>
      <t>)</t>
    </r>
  </si>
  <si>
    <r>
      <rPr>
        <b/>
        <sz val="10"/>
        <rFont val="宋体"/>
        <charset val="134"/>
      </rPr>
      <t>主要设计和制造标准</t>
    </r>
  </si>
  <si>
    <t>GB/T150</t>
  </si>
  <si>
    <r>
      <rPr>
        <b/>
        <sz val="10"/>
        <rFont val="宋体"/>
        <charset val="134"/>
      </rPr>
      <t>类别</t>
    </r>
  </si>
  <si>
    <t>II</t>
  </si>
  <si>
    <r>
      <rPr>
        <b/>
        <sz val="10"/>
        <color theme="1"/>
        <rFont val="等线"/>
        <charset val="134"/>
      </rPr>
      <t>序号</t>
    </r>
  </si>
  <si>
    <r>
      <rPr>
        <b/>
        <sz val="10"/>
        <color theme="1"/>
        <rFont val="等线"/>
        <charset val="134"/>
      </rPr>
      <t>名称</t>
    </r>
  </si>
  <si>
    <r>
      <rPr>
        <b/>
        <sz val="10"/>
        <color theme="1"/>
        <rFont val="宋体"/>
        <charset val="134"/>
      </rPr>
      <t>规格型号</t>
    </r>
  </si>
  <si>
    <r>
      <rPr>
        <b/>
        <sz val="10"/>
        <color theme="1"/>
        <rFont val="等线"/>
        <charset val="134"/>
      </rPr>
      <t>材料</t>
    </r>
  </si>
  <si>
    <r>
      <rPr>
        <b/>
        <sz val="10"/>
        <color theme="1"/>
        <rFont val="等线"/>
        <charset val="134"/>
      </rPr>
      <t>数量</t>
    </r>
  </si>
  <si>
    <r>
      <rPr>
        <b/>
        <sz val="10"/>
        <rFont val="宋体"/>
        <charset val="134"/>
      </rPr>
      <t>质量</t>
    </r>
    <r>
      <rPr>
        <b/>
        <sz val="10"/>
        <rFont val="Calibri"/>
        <charset val="134"/>
      </rPr>
      <t>-kg</t>
    </r>
  </si>
  <si>
    <r>
      <rPr>
        <b/>
        <sz val="10"/>
        <color theme="1"/>
        <rFont val="等线"/>
        <charset val="134"/>
      </rPr>
      <t>单价</t>
    </r>
  </si>
  <si>
    <r>
      <rPr>
        <b/>
        <sz val="10"/>
        <color theme="1"/>
        <rFont val="等线"/>
        <charset val="134"/>
      </rPr>
      <t xml:space="preserve">订料
</t>
    </r>
    <r>
      <rPr>
        <b/>
        <sz val="10"/>
        <color theme="1"/>
        <rFont val="宋体"/>
        <charset val="134"/>
      </rPr>
      <t>系数</t>
    </r>
  </si>
  <si>
    <r>
      <rPr>
        <b/>
        <sz val="10"/>
        <color theme="1"/>
        <rFont val="等线"/>
        <charset val="134"/>
      </rPr>
      <t>总价</t>
    </r>
  </si>
  <si>
    <r>
      <rPr>
        <b/>
        <sz val="10"/>
        <color theme="1"/>
        <rFont val="等线"/>
        <charset val="134"/>
      </rPr>
      <t>备注</t>
    </r>
  </si>
  <si>
    <t>费用归属及责任部门</t>
  </si>
  <si>
    <r>
      <rPr>
        <b/>
        <sz val="10"/>
        <color theme="1"/>
        <rFont val="等线"/>
        <charset val="134"/>
      </rPr>
      <t>件</t>
    </r>
  </si>
  <si>
    <r>
      <rPr>
        <b/>
        <sz val="10"/>
        <rFont val="宋体"/>
        <charset val="134"/>
      </rPr>
      <t>单件</t>
    </r>
  </si>
  <si>
    <r>
      <rPr>
        <b/>
        <sz val="10"/>
        <rFont val="宋体"/>
        <charset val="134"/>
      </rPr>
      <t>总重</t>
    </r>
  </si>
  <si>
    <r>
      <rPr>
        <b/>
        <sz val="10"/>
        <color theme="1"/>
        <rFont val="等线"/>
        <charset val="134"/>
      </rPr>
      <t>万元</t>
    </r>
    <r>
      <rPr>
        <b/>
        <sz val="10"/>
        <color theme="1"/>
        <rFont val="Calibri"/>
        <charset val="134"/>
      </rPr>
      <t>/t</t>
    </r>
  </si>
  <si>
    <r>
      <rPr>
        <b/>
        <sz val="10"/>
        <color theme="1"/>
        <rFont val="等线"/>
        <charset val="134"/>
      </rPr>
      <t>万元</t>
    </r>
  </si>
  <si>
    <t>质量-kg</t>
  </si>
  <si>
    <t>供货状态</t>
  </si>
  <si>
    <t>材料类型</t>
  </si>
  <si>
    <t>备注</t>
  </si>
  <si>
    <r>
      <rPr>
        <b/>
        <sz val="9"/>
        <color theme="1"/>
        <rFont val="宋体"/>
        <charset val="134"/>
      </rPr>
      <t>材料费</t>
    </r>
  </si>
  <si>
    <t>业务识别并询价，业务承担费用</t>
  </si>
  <si>
    <t>基材毛坯单重</t>
  </si>
  <si>
    <t>基材毛坯总重</t>
  </si>
  <si>
    <t>基材成型总重</t>
  </si>
  <si>
    <t>覆层重量</t>
  </si>
  <si>
    <t>管箱封头</t>
  </si>
  <si>
    <t>EHA800x6min(4.98)</t>
  </si>
  <si>
    <t>Q345R</t>
  </si>
  <si>
    <r>
      <rPr>
        <sz val="9"/>
        <color theme="1"/>
        <rFont val="宋体"/>
        <charset val="134"/>
      </rPr>
      <t>钢结构</t>
    </r>
  </si>
  <si>
    <r>
      <rPr>
        <sz val="9"/>
        <color theme="1"/>
        <rFont val="宋体"/>
        <charset val="134"/>
      </rPr>
      <t>特殊焊材费</t>
    </r>
  </si>
  <si>
    <r>
      <rPr>
        <sz val="9"/>
        <color theme="1"/>
        <rFont val="宋体"/>
        <charset val="134"/>
      </rPr>
      <t>堆焊焊材费</t>
    </r>
  </si>
  <si>
    <r>
      <rPr>
        <sz val="9"/>
        <color theme="1"/>
        <rFont val="宋体"/>
        <charset val="134"/>
      </rPr>
      <t>紧固件和密封件</t>
    </r>
  </si>
  <si>
    <r>
      <rPr>
        <b/>
        <sz val="9"/>
        <color theme="1"/>
        <rFont val="宋体"/>
        <charset val="134"/>
      </rPr>
      <t>外购费</t>
    </r>
  </si>
  <si>
    <r>
      <rPr>
        <sz val="9"/>
        <color theme="1"/>
        <rFont val="宋体"/>
        <charset val="134"/>
      </rPr>
      <t>机械设备</t>
    </r>
  </si>
  <si>
    <r>
      <rPr>
        <sz val="9"/>
        <color theme="1"/>
        <rFont val="宋体"/>
        <charset val="134"/>
      </rPr>
      <t>电气设备</t>
    </r>
  </si>
  <si>
    <r>
      <rPr>
        <sz val="9"/>
        <color theme="1"/>
        <rFont val="宋体"/>
        <charset val="134"/>
      </rPr>
      <t>表阀设备</t>
    </r>
  </si>
  <si>
    <r>
      <rPr>
        <sz val="9"/>
        <color theme="1"/>
        <rFont val="宋体"/>
        <charset val="134"/>
      </rPr>
      <t>其他</t>
    </r>
  </si>
  <si>
    <r>
      <rPr>
        <b/>
        <sz val="9"/>
        <color theme="1"/>
        <rFont val="宋体"/>
        <charset val="134"/>
      </rPr>
      <t>其他特殊费</t>
    </r>
  </si>
  <si>
    <r>
      <rPr>
        <sz val="9"/>
        <color theme="1"/>
        <rFont val="宋体"/>
        <charset val="134"/>
      </rPr>
      <t>特殊油漆材料费</t>
    </r>
  </si>
  <si>
    <r>
      <rPr>
        <sz val="9"/>
        <color theme="1"/>
        <rFont val="宋体"/>
        <charset val="134"/>
      </rPr>
      <t>特殊包装费</t>
    </r>
  </si>
  <si>
    <r>
      <rPr>
        <sz val="9"/>
        <color theme="1"/>
        <rFont val="宋体"/>
        <charset val="134"/>
      </rPr>
      <t>理化试验费</t>
    </r>
  </si>
  <si>
    <r>
      <rPr>
        <sz val="9"/>
        <color theme="1"/>
        <rFont val="宋体"/>
        <charset val="134"/>
      </rPr>
      <t>新技术工艺评定费</t>
    </r>
  </si>
  <si>
    <r>
      <rPr>
        <sz val="9"/>
        <color theme="1"/>
        <rFont val="宋体"/>
        <charset val="134"/>
      </rPr>
      <t>新模具、新产品试制费</t>
    </r>
  </si>
  <si>
    <r>
      <rPr>
        <sz val="9"/>
        <color theme="1"/>
        <rFont val="宋体"/>
        <charset val="134"/>
      </rPr>
      <t>一次性、专用工具工装</t>
    </r>
  </si>
  <si>
    <r>
      <rPr>
        <sz val="9"/>
        <color theme="1"/>
        <rFont val="宋体"/>
        <charset val="134"/>
      </rPr>
      <t>发货支座</t>
    </r>
  </si>
  <si>
    <r>
      <rPr>
        <sz val="9"/>
        <color theme="1"/>
        <rFont val="宋体"/>
        <charset val="134"/>
      </rPr>
      <t>厂内外协管理费</t>
    </r>
  </si>
  <si>
    <r>
      <rPr>
        <sz val="9"/>
        <color theme="1"/>
        <rFont val="宋体"/>
        <charset val="134"/>
      </rPr>
      <t>其他质量管理费（整体外包外购产品资料、技术护照等）</t>
    </r>
  </si>
  <si>
    <r>
      <rPr>
        <sz val="9"/>
        <color theme="1"/>
        <rFont val="宋体"/>
        <charset val="134"/>
      </rPr>
      <t>配管成橇劳务</t>
    </r>
  </si>
  <si>
    <r>
      <rPr>
        <sz val="9"/>
        <color theme="1"/>
        <rFont val="宋体"/>
        <charset val="134"/>
      </rPr>
      <t>疲劳分析设计费</t>
    </r>
  </si>
  <si>
    <r>
      <rPr>
        <b/>
        <sz val="9"/>
        <color theme="1"/>
        <rFont val="宋体"/>
        <charset val="134"/>
      </rPr>
      <t>制造费</t>
    </r>
  </si>
  <si>
    <r>
      <rPr>
        <sz val="9"/>
        <color theme="1"/>
        <rFont val="宋体"/>
        <charset val="134"/>
      </rPr>
      <t>设备制造费</t>
    </r>
  </si>
  <si>
    <t>经营管理部核算，属承包费</t>
  </si>
  <si>
    <r>
      <rPr>
        <sz val="9"/>
        <color theme="1"/>
        <rFont val="宋体"/>
        <charset val="134"/>
      </rPr>
      <t>钢结构制造费</t>
    </r>
  </si>
  <si>
    <r>
      <rPr>
        <sz val="9"/>
        <color theme="1"/>
        <rFont val="宋体"/>
        <charset val="134"/>
      </rPr>
      <t>堆焊施工费</t>
    </r>
  </si>
  <si>
    <r>
      <rPr>
        <sz val="9"/>
        <color theme="1"/>
        <rFont val="宋体"/>
        <charset val="134"/>
      </rPr>
      <t>设备内件安装费、空冷器演装费</t>
    </r>
  </si>
  <si>
    <r>
      <rPr>
        <sz val="9"/>
        <color theme="1"/>
        <rFont val="宋体"/>
        <charset val="134"/>
      </rPr>
      <t>监检费</t>
    </r>
  </si>
  <si>
    <r>
      <rPr>
        <sz val="9"/>
        <color theme="1"/>
        <rFont val="宋体"/>
        <charset val="134"/>
      </rPr>
      <t>氢剥离试验</t>
    </r>
  </si>
  <si>
    <t>业务识别并填充信息，经营管理部核算，属承包费</t>
  </si>
  <si>
    <r>
      <rPr>
        <sz val="9"/>
        <color theme="1"/>
        <rFont val="宋体"/>
        <charset val="134"/>
      </rPr>
      <t>氦检漏试验</t>
    </r>
  </si>
  <si>
    <r>
      <rPr>
        <sz val="9"/>
        <color theme="1"/>
        <rFont val="宋体"/>
        <charset val="134"/>
      </rPr>
      <t>棒阳极检测</t>
    </r>
  </si>
  <si>
    <r>
      <rPr>
        <sz val="9"/>
        <color theme="1"/>
        <rFont val="宋体"/>
        <charset val="134"/>
      </rPr>
      <t>电火花测试</t>
    </r>
  </si>
  <si>
    <r>
      <rPr>
        <sz val="9"/>
        <color theme="1"/>
        <rFont val="宋体"/>
        <charset val="134"/>
      </rPr>
      <t>相控阵测试</t>
    </r>
  </si>
  <si>
    <r>
      <rPr>
        <sz val="9"/>
        <color theme="1"/>
        <rFont val="Calibri"/>
        <charset val="134"/>
      </rPr>
      <t>γ</t>
    </r>
    <r>
      <rPr>
        <sz val="9"/>
        <color theme="1"/>
        <rFont val="宋体"/>
        <charset val="134"/>
      </rPr>
      <t>源检测</t>
    </r>
  </si>
  <si>
    <r>
      <rPr>
        <sz val="9"/>
        <color theme="1"/>
        <rFont val="宋体"/>
        <charset val="134"/>
      </rPr>
      <t>特殊管头焊接费</t>
    </r>
  </si>
  <si>
    <r>
      <rPr>
        <b/>
        <sz val="9"/>
        <color theme="1"/>
        <rFont val="宋体"/>
        <charset val="134"/>
      </rPr>
      <t>外协外包费</t>
    </r>
  </si>
  <si>
    <t>业务识别并询价，属承包费</t>
  </si>
  <si>
    <r>
      <rPr>
        <sz val="9"/>
        <color theme="1"/>
        <rFont val="宋体"/>
        <charset val="134"/>
      </rPr>
      <t>封头、锥体压制</t>
    </r>
  </si>
  <si>
    <r>
      <rPr>
        <sz val="9"/>
        <color theme="1"/>
        <rFont val="宋体"/>
        <charset val="134"/>
      </rPr>
      <t>超尺寸筒节卷圆</t>
    </r>
  </si>
  <si>
    <r>
      <rPr>
        <sz val="9"/>
        <color theme="1"/>
        <rFont val="宋体"/>
        <charset val="134"/>
      </rPr>
      <t>超尺寸热处理</t>
    </r>
  </si>
  <si>
    <r>
      <rPr>
        <sz val="9"/>
        <color theme="1"/>
        <rFont val="宋体"/>
        <charset val="134"/>
      </rPr>
      <t>镶块加工</t>
    </r>
  </si>
  <si>
    <r>
      <rPr>
        <sz val="9"/>
        <color theme="1"/>
        <rFont val="宋体"/>
        <charset val="134"/>
      </rPr>
      <t>换热管覆铝</t>
    </r>
  </si>
  <si>
    <r>
      <rPr>
        <sz val="9"/>
        <color theme="1"/>
        <rFont val="宋体"/>
        <charset val="134"/>
      </rPr>
      <t>翅片管轧制</t>
    </r>
  </si>
  <si>
    <r>
      <rPr>
        <sz val="9"/>
        <color theme="1"/>
        <rFont val="宋体"/>
        <charset val="134"/>
      </rPr>
      <t>高效换热管加工</t>
    </r>
  </si>
  <si>
    <r>
      <rPr>
        <sz val="9"/>
        <color theme="1"/>
        <rFont val="宋体"/>
        <charset val="134"/>
      </rPr>
      <t>弯管</t>
    </r>
  </si>
  <si>
    <r>
      <rPr>
        <sz val="9"/>
        <color theme="1"/>
        <rFont val="宋体"/>
        <charset val="134"/>
      </rPr>
      <t>可拆板换板体加工</t>
    </r>
  </si>
  <si>
    <r>
      <rPr>
        <sz val="9"/>
        <color theme="1"/>
        <rFont val="宋体"/>
        <charset val="134"/>
      </rPr>
      <t>耐火衬里</t>
    </r>
  </si>
  <si>
    <r>
      <rPr>
        <sz val="9"/>
        <color theme="1"/>
        <rFont val="宋体"/>
        <charset val="134"/>
      </rPr>
      <t>镀锌处理</t>
    </r>
  </si>
  <si>
    <r>
      <rPr>
        <sz val="9"/>
        <color theme="1"/>
        <rFont val="宋体"/>
        <charset val="134"/>
      </rPr>
      <t>保温处理</t>
    </r>
  </si>
  <si>
    <r>
      <rPr>
        <sz val="9"/>
        <color theme="1"/>
        <rFont val="宋体"/>
        <charset val="134"/>
      </rPr>
      <t>酸洗处理</t>
    </r>
  </si>
  <si>
    <r>
      <rPr>
        <sz val="9"/>
        <color theme="1"/>
        <rFont val="宋体"/>
        <charset val="134"/>
      </rPr>
      <t>脱脂脱硫处理</t>
    </r>
  </si>
  <si>
    <r>
      <rPr>
        <sz val="9"/>
        <color theme="1"/>
        <rFont val="宋体"/>
        <charset val="134"/>
      </rPr>
      <t>抛光处理</t>
    </r>
  </si>
  <si>
    <r>
      <rPr>
        <sz val="9"/>
        <color theme="1"/>
        <rFont val="宋体"/>
        <charset val="134"/>
      </rPr>
      <t>四面可拆板式换热器立柱、衬板、盖板加工</t>
    </r>
  </si>
  <si>
    <r>
      <rPr>
        <sz val="9"/>
        <color theme="1"/>
        <rFont val="宋体"/>
        <charset val="134"/>
      </rPr>
      <t>换热管内外防腐处理</t>
    </r>
  </si>
  <si>
    <r>
      <rPr>
        <sz val="9"/>
        <color theme="1"/>
        <rFont val="宋体"/>
        <charset val="134"/>
      </rPr>
      <t>外协组装（含运费）</t>
    </r>
  </si>
  <si>
    <r>
      <rPr>
        <b/>
        <sz val="9"/>
        <color theme="1"/>
        <rFont val="宋体"/>
        <charset val="134"/>
      </rPr>
      <t>管理费</t>
    </r>
  </si>
  <si>
    <t>经营管理部核算</t>
  </si>
  <si>
    <r>
      <rPr>
        <b/>
        <sz val="9"/>
        <color theme="1"/>
        <rFont val="宋体"/>
        <charset val="134"/>
      </rPr>
      <t>运输费</t>
    </r>
  </si>
  <si>
    <r>
      <rPr>
        <b/>
        <sz val="9"/>
        <color theme="1"/>
        <rFont val="宋体"/>
        <charset val="134"/>
      </rPr>
      <t>合计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</si>
</sst>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General"/>
    <numFmt numFmtId="177" formatCode="0_);[Red]\(0\)"/>
    <numFmt numFmtId="178" formatCode="0.0000_);[Red]\(0.0000\)"/>
    <numFmt numFmtId="179" formatCode="#,##0.00_ "/>
    <numFmt numFmtId="180" formatCode="0_ "/>
    <numFmt numFmtId="181" formatCode="#,##0_ "/>
  </numFmts>
  <fonts count="44">
    <font>
      <sz val="11"/>
      <color theme="1"/>
      <name val="等线"/>
      <charset val="134"/>
      <scheme val="minor"/>
    </font>
    <font>
      <sz val="10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trike/>
      <sz val="10"/>
      <color theme="1"/>
      <name val="等线 Light"/>
      <charset val="134"/>
    </font>
    <font>
      <b/>
      <sz val="16"/>
      <color theme="1"/>
      <name val="Calibri"/>
      <charset val="134"/>
    </font>
    <font>
      <b/>
      <sz val="10"/>
      <name val="Calibri"/>
      <charset val="134"/>
    </font>
    <font>
      <b/>
      <sz val="10"/>
      <name val="微软雅黑"/>
      <charset val="134"/>
    </font>
    <font>
      <b/>
      <sz val="10"/>
      <color theme="1"/>
      <name val="等线"/>
      <charset val="134"/>
    </font>
    <font>
      <sz val="9"/>
      <name val="微软雅黑"/>
      <charset val="134"/>
    </font>
    <font>
      <b/>
      <sz val="9"/>
      <color theme="1"/>
      <name val="Calibri"/>
      <charset val="134"/>
    </font>
    <font>
      <sz val="9"/>
      <color theme="1"/>
      <name val="Calibri"/>
      <charset val="134"/>
    </font>
    <font>
      <sz val="9"/>
      <name val="Calibri"/>
      <charset val="134"/>
    </font>
    <font>
      <sz val="9"/>
      <color rgb="FFFF0000"/>
      <name val="微软雅黑"/>
      <charset val="134"/>
    </font>
    <font>
      <sz val="10"/>
      <color theme="1"/>
      <name val="等线 Light"/>
      <charset val="134"/>
    </font>
    <font>
      <b/>
      <sz val="10"/>
      <color theme="1"/>
      <name val="等线"/>
      <charset val="134"/>
      <scheme val="minor"/>
    </font>
    <font>
      <b/>
      <sz val="9"/>
      <color rgb="FFFF000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9"/>
      <color theme="1"/>
      <name val="宋体"/>
      <charset val="134"/>
    </font>
    <font>
      <b/>
      <sz val="10"/>
      <name val="等线"/>
      <charset val="134"/>
    </font>
    <font>
      <b/>
      <sz val="10"/>
      <color theme="1"/>
      <name val="宋体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b/>
      <sz val="16"/>
      <color theme="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1" applyNumberFormat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8" fillId="7" borderId="11" applyNumberFormat="0" applyAlignment="0" applyProtection="0">
      <alignment vertical="center"/>
    </xf>
    <xf numFmtId="0" fontId="29" fillId="8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37" fillId="0" borderId="0"/>
  </cellStyleXfs>
  <cellXfs count="7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wrapText="1" shrinkToFit="1"/>
    </xf>
    <xf numFmtId="178" fontId="6" fillId="0" borderId="2" xfId="0" applyNumberFormat="1" applyFont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center" vertical="center"/>
    </xf>
    <xf numFmtId="177" fontId="2" fillId="0" borderId="2" xfId="49" applyNumberFormat="1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/>
    </xf>
    <xf numFmtId="0" fontId="8" fillId="2" borderId="2" xfId="49" applyFont="1" applyFill="1" applyBorder="1" applyAlignment="1">
      <alignment horizontal="center" vertical="center" wrapText="1"/>
    </xf>
    <xf numFmtId="0" fontId="2" fillId="0" borderId="4" xfId="49" applyFont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 wrapText="1"/>
    </xf>
    <xf numFmtId="0" fontId="9" fillId="0" borderId="5" xfId="49" applyFont="1" applyBorder="1" applyAlignment="1">
      <alignment horizontal="center" vertical="center"/>
    </xf>
    <xf numFmtId="0" fontId="9" fillId="0" borderId="6" xfId="49" applyFont="1" applyBorder="1" applyAlignment="1">
      <alignment horizontal="center" vertical="center"/>
    </xf>
    <xf numFmtId="0" fontId="9" fillId="0" borderId="7" xfId="49" applyFont="1" applyBorder="1" applyAlignment="1">
      <alignment horizontal="center" vertical="center"/>
    </xf>
    <xf numFmtId="0" fontId="9" fillId="0" borderId="3" xfId="49" applyFont="1" applyBorder="1" applyAlignment="1">
      <alignment horizontal="center" vertical="center"/>
    </xf>
    <xf numFmtId="0" fontId="10" fillId="3" borderId="2" xfId="49" applyFont="1" applyFill="1" applyBorder="1" applyAlignment="1">
      <alignment horizontal="center" vertical="center"/>
    </xf>
    <xf numFmtId="179" fontId="10" fillId="3" borderId="2" xfId="49" applyNumberFormat="1" applyFont="1" applyFill="1" applyBorder="1" applyAlignment="1">
      <alignment horizontal="center" vertical="center"/>
    </xf>
    <xf numFmtId="180" fontId="8" fillId="2" borderId="2" xfId="49" applyNumberFormat="1" applyFont="1" applyFill="1" applyBorder="1" applyAlignment="1">
      <alignment horizontal="center" vertical="center" wrapText="1"/>
    </xf>
    <xf numFmtId="0" fontId="9" fillId="0" borderId="2" xfId="49" applyFont="1" applyBorder="1" applyAlignment="1">
      <alignment horizontal="center" vertical="center"/>
    </xf>
    <xf numFmtId="0" fontId="9" fillId="0" borderId="4" xfId="49" applyFont="1" applyBorder="1" applyAlignment="1">
      <alignment horizontal="center" vertical="center"/>
    </xf>
    <xf numFmtId="177" fontId="11" fillId="0" borderId="2" xfId="49" applyNumberFormat="1" applyFont="1" applyBorder="1" applyAlignment="1">
      <alignment horizontal="center" vertical="center"/>
    </xf>
    <xf numFmtId="0" fontId="9" fillId="0" borderId="2" xfId="49" applyFont="1" applyBorder="1" applyAlignment="1">
      <alignment horizontal="left" vertical="center"/>
    </xf>
    <xf numFmtId="0" fontId="12" fillId="0" borderId="2" xfId="49" applyFont="1" applyBorder="1" applyAlignment="1">
      <alignment horizontal="left" vertical="center"/>
    </xf>
    <xf numFmtId="0" fontId="1" fillId="0" borderId="2" xfId="49" applyFont="1" applyBorder="1" applyAlignment="1">
      <alignment horizontal="center" vertical="center"/>
    </xf>
    <xf numFmtId="181" fontId="11" fillId="0" borderId="2" xfId="49" applyNumberFormat="1" applyFont="1" applyBorder="1" applyAlignment="1">
      <alignment horizontal="center" vertical="center"/>
    </xf>
    <xf numFmtId="179" fontId="11" fillId="0" borderId="2" xfId="49" applyNumberFormat="1" applyFont="1" applyBorder="1" applyAlignment="1">
      <alignment horizontal="center" vertical="center"/>
    </xf>
    <xf numFmtId="0" fontId="11" fillId="0" borderId="2" xfId="49" applyFont="1" applyBorder="1" applyAlignment="1">
      <alignment horizontal="center" vertical="center"/>
    </xf>
    <xf numFmtId="0" fontId="3" fillId="0" borderId="0" xfId="49" applyFont="1" applyFill="1" applyBorder="1" applyAlignment="1">
      <alignment horizontal="center" vertical="center"/>
    </xf>
    <xf numFmtId="180" fontId="2" fillId="2" borderId="2" xfId="49" applyNumberFormat="1" applyFont="1" applyFill="1" applyBorder="1" applyAlignment="1">
      <alignment horizontal="center" vertical="center" wrapText="1"/>
    </xf>
    <xf numFmtId="0" fontId="9" fillId="0" borderId="2" xfId="49" applyFont="1" applyFill="1" applyBorder="1" applyAlignment="1">
      <alignment horizontal="center" vertical="center"/>
    </xf>
    <xf numFmtId="0" fontId="11" fillId="0" borderId="2" xfId="49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2" xfId="49" applyFont="1" applyFill="1" applyBorder="1" applyAlignment="1">
      <alignment horizontal="left" vertical="center"/>
    </xf>
    <xf numFmtId="181" fontId="11" fillId="0" borderId="2" xfId="49" applyNumberFormat="1" applyFont="1" applyFill="1" applyBorder="1" applyAlignment="1">
      <alignment horizontal="center" vertical="center"/>
    </xf>
    <xf numFmtId="179" fontId="11" fillId="0" borderId="2" xfId="49" applyNumberFormat="1" applyFont="1" applyFill="1" applyBorder="1" applyAlignment="1">
      <alignment horizontal="center" vertical="center"/>
    </xf>
    <xf numFmtId="0" fontId="11" fillId="0" borderId="2" xfId="49" applyFont="1" applyFill="1" applyBorder="1" applyAlignment="1">
      <alignment horizontal="center" vertical="center"/>
    </xf>
    <xf numFmtId="0" fontId="13" fillId="0" borderId="2" xfId="49" applyFont="1" applyBorder="1" applyAlignment="1">
      <alignment horizontal="center" vertical="center"/>
    </xf>
    <xf numFmtId="0" fontId="10" fillId="0" borderId="2" xfId="49" applyFont="1" applyFill="1" applyBorder="1" applyAlignment="1">
      <alignment horizontal="left" vertical="center"/>
    </xf>
    <xf numFmtId="0" fontId="13" fillId="0" borderId="0" xfId="49" applyFont="1" applyFill="1" applyBorder="1" applyAlignment="1">
      <alignment horizontal="center" vertical="center"/>
    </xf>
    <xf numFmtId="2" fontId="3" fillId="0" borderId="0" xfId="0" applyNumberFormat="1" applyFont="1">
      <alignment vertical="center"/>
    </xf>
    <xf numFmtId="0" fontId="11" fillId="0" borderId="2" xfId="49" applyFont="1" applyBorder="1" applyAlignment="1">
      <alignment horizontal="left" vertical="center" wrapText="1"/>
    </xf>
    <xf numFmtId="0" fontId="10" fillId="3" borderId="2" xfId="49" applyFont="1" applyFill="1" applyBorder="1" applyAlignment="1">
      <alignment horizontal="left" vertical="center"/>
    </xf>
    <xf numFmtId="0" fontId="11" fillId="3" borderId="2" xfId="49" applyFont="1" applyFill="1" applyBorder="1" applyAlignment="1">
      <alignment horizontal="center" vertical="center"/>
    </xf>
    <xf numFmtId="180" fontId="8" fillId="2" borderId="2" xfId="49" applyNumberFormat="1" applyFont="1" applyFill="1" applyBorder="1" applyAlignment="1">
      <alignment vertical="center" wrapText="1"/>
    </xf>
    <xf numFmtId="177" fontId="11" fillId="0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Fill="1">
      <alignment vertical="center"/>
    </xf>
    <xf numFmtId="177" fontId="11" fillId="0" borderId="2" xfId="49" applyNumberFormat="1" applyFont="1" applyBorder="1" applyAlignment="1">
      <alignment horizontal="left" vertical="center"/>
    </xf>
    <xf numFmtId="0" fontId="14" fillId="0" borderId="0" xfId="49" applyFont="1" applyFill="1" applyBorder="1" applyAlignment="1">
      <alignment horizontal="center" vertical="center"/>
    </xf>
    <xf numFmtId="180" fontId="15" fillId="2" borderId="2" xfId="49" applyNumberFormat="1" applyFont="1" applyFill="1" applyBorder="1" applyAlignment="1">
      <alignment vertical="center" wrapText="1"/>
    </xf>
    <xf numFmtId="179" fontId="16" fillId="3" borderId="2" xfId="49" applyNumberFormat="1" applyFont="1" applyFill="1" applyBorder="1" applyAlignment="1">
      <alignment horizontal="center" vertical="center"/>
    </xf>
    <xf numFmtId="179" fontId="17" fillId="0" borderId="0" xfId="49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0" fillId="4" borderId="2" xfId="49" applyFont="1" applyFill="1" applyBorder="1" applyAlignment="1">
      <alignment horizontal="center" vertical="center"/>
    </xf>
    <xf numFmtId="0" fontId="10" fillId="4" borderId="2" xfId="49" applyFont="1" applyFill="1" applyBorder="1" applyAlignment="1">
      <alignment vertical="center"/>
    </xf>
    <xf numFmtId="179" fontId="10" fillId="4" borderId="2" xfId="49" applyNumberFormat="1" applyFont="1" applyFill="1" applyBorder="1" applyAlignment="1">
      <alignment horizontal="center" vertical="center"/>
    </xf>
    <xf numFmtId="179" fontId="16" fillId="4" borderId="2" xfId="0" applyNumberFormat="1" applyFont="1" applyFill="1" applyBorder="1" applyAlignment="1">
      <alignment horizontal="center" vertical="center"/>
    </xf>
    <xf numFmtId="179" fontId="17" fillId="0" borderId="0" xfId="0" applyNumberFormat="1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4" xfId="51"/>
    <cellStyle name="常规 20" xfId="52"/>
    <cellStyle name="常规 3" xfId="53"/>
    <cellStyle name="常规 5" xfId="54"/>
    <cellStyle name="常规 5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1"/>
  <sheetViews>
    <sheetView tabSelected="1" zoomScale="120" zoomScaleNormal="120" workbookViewId="0">
      <selection activeCell="M2" sqref="M2"/>
    </sheetView>
  </sheetViews>
  <sheetFormatPr defaultColWidth="9" defaultRowHeight="12.75"/>
  <cols>
    <col min="1" max="1" width="4.875" style="5" customWidth="1"/>
    <col min="2" max="2" width="23.875" style="6" customWidth="1"/>
    <col min="3" max="3" width="18.5" style="6" customWidth="1"/>
    <col min="4" max="4" width="9.75" style="7" customWidth="1"/>
    <col min="5" max="5" width="5.125" style="7" customWidth="1"/>
    <col min="6" max="8" width="7.625" style="7" customWidth="1"/>
    <col min="9" max="9" width="8.125" style="7" customWidth="1"/>
    <col min="10" max="10" width="9.5" style="7" customWidth="1"/>
    <col min="11" max="11" width="8.875" style="7" customWidth="1"/>
    <col min="12" max="12" width="1" style="8" customWidth="1"/>
    <col min="13" max="13" width="16.375" style="3" customWidth="1"/>
    <col min="14" max="14" width="9" style="7"/>
    <col min="15" max="15" width="14.1666666666667" style="7" customWidth="1"/>
    <col min="16" max="16384" width="9" style="7"/>
  </cols>
  <sheetData>
    <row r="1" ht="34.5" customHeight="1" spans="1:2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</row>
    <row r="2" s="1" customFormat="1" ht="24.6" customHeight="1" spans="1:21">
      <c r="A2" s="12" t="s">
        <v>1</v>
      </c>
      <c r="B2" s="12"/>
      <c r="C2" s="13" t="s">
        <v>2</v>
      </c>
      <c r="D2" s="12"/>
      <c r="E2" s="12"/>
      <c r="F2" s="12"/>
      <c r="G2" s="12"/>
      <c r="H2" s="12"/>
      <c r="I2" s="14" t="s">
        <v>3</v>
      </c>
      <c r="J2" s="14"/>
      <c r="K2" s="12">
        <v>1</v>
      </c>
      <c r="L2" s="15"/>
      <c r="M2" s="16"/>
    </row>
    <row r="3" s="1" customFormat="1" ht="24.6" customHeight="1" spans="1:21">
      <c r="A3" s="12" t="s">
        <v>4</v>
      </c>
      <c r="B3" s="12"/>
      <c r="C3" s="12" t="s">
        <v>5</v>
      </c>
      <c r="D3" s="12"/>
      <c r="E3" s="12"/>
      <c r="F3" s="12"/>
      <c r="G3" s="12"/>
      <c r="H3" s="12"/>
      <c r="I3" s="14" t="s">
        <v>6</v>
      </c>
      <c r="J3" s="14"/>
      <c r="K3" s="12" t="s">
        <v>7</v>
      </c>
      <c r="L3" s="15"/>
      <c r="M3" s="16"/>
    </row>
    <row r="4" s="2" customFormat="1" ht="18.6" customHeight="1" spans="1:21">
      <c r="A4" s="17" t="s">
        <v>8</v>
      </c>
      <c r="B4" s="18" t="s">
        <v>9</v>
      </c>
      <c r="C4" s="19" t="s">
        <v>10</v>
      </c>
      <c r="D4" s="18" t="s">
        <v>11</v>
      </c>
      <c r="E4" s="18" t="s">
        <v>12</v>
      </c>
      <c r="F4" s="12" t="s">
        <v>13</v>
      </c>
      <c r="G4" s="12"/>
      <c r="H4" s="18" t="s">
        <v>14</v>
      </c>
      <c r="I4" s="20" t="s">
        <v>15</v>
      </c>
      <c r="J4" s="18" t="s">
        <v>16</v>
      </c>
      <c r="K4" s="18" t="s">
        <v>17</v>
      </c>
      <c r="L4" s="21"/>
      <c r="M4" s="22" t="s">
        <v>18</v>
      </c>
    </row>
    <row r="5" s="2" customFormat="1" ht="18.6" customHeight="1" spans="1:21">
      <c r="A5" s="17"/>
      <c r="B5" s="18"/>
      <c r="C5" s="23"/>
      <c r="D5" s="18"/>
      <c r="E5" s="18" t="s">
        <v>19</v>
      </c>
      <c r="F5" s="12" t="s">
        <v>20</v>
      </c>
      <c r="G5" s="12" t="s">
        <v>21</v>
      </c>
      <c r="H5" s="18" t="s">
        <v>22</v>
      </c>
      <c r="I5" s="18"/>
      <c r="J5" s="18" t="s">
        <v>23</v>
      </c>
      <c r="K5" s="18"/>
      <c r="L5" s="21"/>
      <c r="M5" s="24"/>
      <c r="O5" s="25" t="s">
        <v>24</v>
      </c>
      <c r="P5" s="26"/>
      <c r="Q5" s="26"/>
      <c r="R5" s="27"/>
      <c r="S5" s="28" t="s">
        <v>25</v>
      </c>
      <c r="T5" s="28" t="s">
        <v>26</v>
      </c>
      <c r="U5" s="28" t="s">
        <v>27</v>
      </c>
    </row>
    <row r="6" ht="14.25" customHeight="1" spans="1:21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30">
        <f>SUM(J7:J22)</f>
        <v>0</v>
      </c>
      <c r="K6" s="29"/>
      <c r="L6" s="21"/>
      <c r="M6" s="31" t="s">
        <v>29</v>
      </c>
      <c r="O6" s="32" t="s">
        <v>30</v>
      </c>
      <c r="P6" s="32" t="s">
        <v>31</v>
      </c>
      <c r="Q6" s="32" t="s">
        <v>32</v>
      </c>
      <c r="R6" s="32" t="s">
        <v>33</v>
      </c>
      <c r="S6" s="33"/>
      <c r="T6" s="33"/>
      <c r="U6" s="33"/>
    </row>
    <row r="7" ht="14.25" spans="1:21">
      <c r="A7" s="34">
        <v>1</v>
      </c>
      <c r="B7" s="35" t="s">
        <v>34</v>
      </c>
      <c r="C7" s="36" t="s">
        <v>35</v>
      </c>
      <c r="D7" s="37" t="s">
        <v>36</v>
      </c>
      <c r="E7" s="38">
        <v>1</v>
      </c>
      <c r="F7" s="38"/>
      <c r="G7" s="38"/>
      <c r="H7" s="39"/>
      <c r="I7" s="39">
        <v>1</v>
      </c>
      <c r="J7" s="39">
        <f t="shared" ref="J7:J13" si="0">E7*H7</f>
        <v>0</v>
      </c>
      <c r="K7" s="40"/>
      <c r="L7" s="41"/>
      <c r="M7" s="42"/>
      <c r="O7" s="32"/>
      <c r="P7" s="43"/>
      <c r="Q7" s="43"/>
      <c r="R7" s="43"/>
      <c r="S7" s="32"/>
      <c r="T7" s="32"/>
      <c r="U7" s="32"/>
    </row>
    <row r="8" ht="14.25" spans="1:21">
      <c r="A8" s="34">
        <v>2</v>
      </c>
      <c r="B8" s="44"/>
      <c r="C8" s="44"/>
      <c r="D8" s="44"/>
      <c r="E8" s="38">
        <v>1</v>
      </c>
      <c r="F8" s="38"/>
      <c r="G8" s="38"/>
      <c r="H8" s="39"/>
      <c r="I8" s="39">
        <v>1</v>
      </c>
      <c r="J8" s="39">
        <f t="shared" si="0"/>
        <v>0</v>
      </c>
      <c r="K8" s="40"/>
      <c r="L8" s="41"/>
      <c r="M8" s="42"/>
      <c r="O8" s="32"/>
      <c r="P8" s="43"/>
      <c r="Q8" s="43"/>
      <c r="R8" s="43"/>
      <c r="S8" s="32"/>
      <c r="T8" s="32"/>
      <c r="U8" s="32"/>
    </row>
    <row r="9" ht="14.25" spans="1:21">
      <c r="A9" s="34">
        <v>3</v>
      </c>
      <c r="B9" s="44"/>
      <c r="C9" s="44"/>
      <c r="D9" s="44"/>
      <c r="E9" s="38">
        <v>1</v>
      </c>
      <c r="F9" s="38"/>
      <c r="G9" s="38"/>
      <c r="H9" s="39"/>
      <c r="I9" s="39">
        <v>1</v>
      </c>
      <c r="J9" s="39">
        <f t="shared" si="0"/>
        <v>0</v>
      </c>
      <c r="K9" s="40"/>
      <c r="L9" s="41"/>
      <c r="M9" s="42"/>
      <c r="O9" s="32"/>
      <c r="P9" s="43"/>
      <c r="Q9" s="43"/>
      <c r="R9" s="43"/>
      <c r="S9" s="32"/>
      <c r="T9" s="32"/>
      <c r="U9" s="32"/>
    </row>
    <row r="10" ht="14.25" spans="1:21">
      <c r="A10" s="34">
        <v>4</v>
      </c>
      <c r="B10" s="44"/>
      <c r="C10" s="44"/>
      <c r="D10" s="44"/>
      <c r="E10" s="38">
        <v>1</v>
      </c>
      <c r="F10" s="38"/>
      <c r="G10" s="38"/>
      <c r="H10" s="39"/>
      <c r="I10" s="39">
        <v>1</v>
      </c>
      <c r="J10" s="39">
        <f t="shared" si="0"/>
        <v>0</v>
      </c>
      <c r="K10" s="40"/>
      <c r="L10" s="41"/>
      <c r="M10" s="42"/>
      <c r="O10" s="32"/>
      <c r="P10" s="43"/>
      <c r="Q10" s="43"/>
      <c r="R10" s="43"/>
      <c r="S10" s="32"/>
      <c r="T10" s="32"/>
      <c r="U10" s="32"/>
    </row>
    <row r="11" ht="14.25" spans="1:21">
      <c r="A11" s="34">
        <v>5</v>
      </c>
      <c r="B11" s="45"/>
      <c r="C11" s="45"/>
      <c r="D11" s="45"/>
      <c r="E11" s="38">
        <v>1</v>
      </c>
      <c r="F11" s="38"/>
      <c r="G11" s="38"/>
      <c r="H11" s="39"/>
      <c r="I11" s="39">
        <v>1</v>
      </c>
      <c r="J11" s="39">
        <f t="shared" si="0"/>
        <v>0</v>
      </c>
      <c r="K11" s="40"/>
      <c r="L11" s="41"/>
      <c r="M11" s="42"/>
      <c r="O11" s="32"/>
      <c r="P11" s="43"/>
      <c r="Q11" s="43"/>
      <c r="R11" s="43"/>
      <c r="S11" s="32"/>
      <c r="T11" s="32"/>
      <c r="U11" s="32"/>
    </row>
    <row r="12" ht="14.25" spans="1:21">
      <c r="A12" s="34">
        <v>6</v>
      </c>
      <c r="B12" s="44"/>
      <c r="C12" s="44"/>
      <c r="D12" s="44"/>
      <c r="E12" s="38">
        <v>1</v>
      </c>
      <c r="F12" s="38"/>
      <c r="G12" s="38"/>
      <c r="H12" s="39"/>
      <c r="I12" s="39">
        <v>1</v>
      </c>
      <c r="J12" s="39">
        <f t="shared" ref="J12" si="1">E12*H12</f>
        <v>0</v>
      </c>
      <c r="K12" s="40"/>
      <c r="L12" s="41"/>
      <c r="M12" s="42"/>
      <c r="O12" s="32"/>
      <c r="P12" s="43"/>
      <c r="Q12" s="43"/>
      <c r="R12" s="43"/>
      <c r="S12" s="32"/>
      <c r="T12" s="32"/>
      <c r="U12" s="32"/>
    </row>
    <row r="13" ht="14.25" spans="1:21">
      <c r="A13" s="34">
        <v>7</v>
      </c>
      <c r="B13" s="44"/>
      <c r="C13" s="44"/>
      <c r="D13" s="44"/>
      <c r="E13" s="38">
        <v>1</v>
      </c>
      <c r="F13" s="38"/>
      <c r="G13" s="38"/>
      <c r="H13" s="39"/>
      <c r="I13" s="39">
        <v>1</v>
      </c>
      <c r="J13" s="39">
        <f t="shared" si="0"/>
        <v>0</v>
      </c>
      <c r="K13" s="40"/>
      <c r="L13" s="41"/>
      <c r="M13" s="42"/>
      <c r="O13" s="32"/>
      <c r="P13" s="43"/>
      <c r="Q13" s="43"/>
      <c r="R13" s="43"/>
      <c r="S13" s="32"/>
      <c r="T13" s="32"/>
      <c r="U13" s="32"/>
    </row>
    <row r="14" ht="14.25" spans="1:21">
      <c r="A14" s="34">
        <v>8</v>
      </c>
      <c r="B14" s="44" t="s">
        <v>37</v>
      </c>
      <c r="C14" s="44"/>
      <c r="D14" s="44"/>
      <c r="E14" s="38">
        <v>1</v>
      </c>
      <c r="F14" s="38"/>
      <c r="G14" s="38"/>
      <c r="H14" s="39"/>
      <c r="I14" s="39">
        <v>1</v>
      </c>
      <c r="J14" s="39">
        <f t="shared" ref="J14" si="2">E14*H14</f>
        <v>0</v>
      </c>
      <c r="K14" s="40"/>
      <c r="L14" s="41"/>
      <c r="M14" s="42"/>
      <c r="O14" s="32"/>
      <c r="P14" s="43"/>
      <c r="Q14" s="43"/>
      <c r="R14" s="43"/>
      <c r="S14" s="32"/>
      <c r="T14" s="32"/>
      <c r="U14" s="32"/>
    </row>
    <row r="15" s="3" customFormat="1" ht="14.25" spans="1:21">
      <c r="A15" s="34">
        <v>9</v>
      </c>
      <c r="B15" s="46" t="s">
        <v>38</v>
      </c>
      <c r="C15" s="46"/>
      <c r="D15" s="46"/>
      <c r="E15" s="38">
        <v>1</v>
      </c>
      <c r="F15" s="47"/>
      <c r="G15" s="47"/>
      <c r="H15" s="48"/>
      <c r="I15" s="39">
        <v>1</v>
      </c>
      <c r="J15" s="39">
        <f t="shared" ref="J15" si="3">E15*H15</f>
        <v>0</v>
      </c>
      <c r="K15" s="49"/>
      <c r="L15" s="41"/>
      <c r="M15" s="42"/>
      <c r="O15" s="32"/>
      <c r="P15" s="43"/>
      <c r="Q15" s="43"/>
      <c r="R15" s="43"/>
      <c r="S15" s="32"/>
      <c r="T15" s="32"/>
      <c r="U15" s="32"/>
    </row>
    <row r="16" s="3" customFormat="1" ht="14.25" spans="1:21">
      <c r="A16" s="34">
        <v>10</v>
      </c>
      <c r="B16" s="46" t="s">
        <v>39</v>
      </c>
      <c r="C16" s="46"/>
      <c r="D16" s="46"/>
      <c r="E16" s="38">
        <v>1</v>
      </c>
      <c r="F16" s="47"/>
      <c r="G16" s="47"/>
      <c r="H16" s="48"/>
      <c r="I16" s="39">
        <v>1</v>
      </c>
      <c r="J16" s="39">
        <f t="shared" ref="J16" si="4">E16*H16</f>
        <v>0</v>
      </c>
      <c r="K16" s="49"/>
      <c r="L16" s="41"/>
      <c r="M16" s="42"/>
      <c r="O16" s="32"/>
      <c r="P16" s="43"/>
      <c r="Q16" s="43"/>
      <c r="R16" s="43"/>
      <c r="S16" s="50"/>
      <c r="T16" s="50"/>
      <c r="U16" s="50"/>
    </row>
    <row r="17" ht="14.25" spans="1:17">
      <c r="A17" s="34">
        <v>11</v>
      </c>
      <c r="B17" s="44" t="s">
        <v>40</v>
      </c>
      <c r="C17" s="44"/>
      <c r="D17" s="51"/>
      <c r="E17" s="38">
        <v>1</v>
      </c>
      <c r="F17" s="38"/>
      <c r="G17" s="38"/>
      <c r="H17" s="39"/>
      <c r="I17" s="39">
        <v>1</v>
      </c>
      <c r="J17" s="39">
        <f t="shared" ref="J17" si="5">E17*H17</f>
        <v>0</v>
      </c>
      <c r="K17" s="49"/>
      <c r="L17" s="41"/>
      <c r="M17" s="42"/>
      <c r="N17" s="52"/>
    </row>
    <row r="18" spans="1:17">
      <c r="A18" s="29" t="s">
        <v>41</v>
      </c>
      <c r="B18" s="29"/>
      <c r="C18" s="29"/>
      <c r="D18" s="29"/>
      <c r="E18" s="29"/>
      <c r="F18" s="29"/>
      <c r="G18" s="29"/>
      <c r="H18" s="29"/>
      <c r="I18" s="29"/>
      <c r="J18" s="30">
        <f>SUM(J19:J34)</f>
        <v>0</v>
      </c>
      <c r="K18" s="29"/>
      <c r="L18" s="41"/>
      <c r="M18" s="42"/>
    </row>
    <row r="19" spans="1:17">
      <c r="A19" s="34">
        <v>1</v>
      </c>
      <c r="B19" s="44" t="s">
        <v>42</v>
      </c>
      <c r="C19" s="44"/>
      <c r="D19" s="44"/>
      <c r="E19" s="38">
        <v>1</v>
      </c>
      <c r="F19" s="38"/>
      <c r="G19" s="38"/>
      <c r="H19" s="39"/>
      <c r="I19" s="39">
        <v>1</v>
      </c>
      <c r="J19" s="39">
        <f t="shared" ref="J19:J21" si="6">E19*H19</f>
        <v>0</v>
      </c>
      <c r="K19" s="40"/>
      <c r="L19" s="41"/>
      <c r="M19" s="42"/>
      <c r="Q19" s="53"/>
    </row>
    <row r="20" spans="1:17">
      <c r="A20" s="34">
        <v>2</v>
      </c>
      <c r="B20" s="44" t="s">
        <v>43</v>
      </c>
      <c r="C20" s="44"/>
      <c r="D20" s="44"/>
      <c r="E20" s="38">
        <v>1</v>
      </c>
      <c r="F20" s="38"/>
      <c r="G20" s="38"/>
      <c r="H20" s="39"/>
      <c r="I20" s="39">
        <v>1</v>
      </c>
      <c r="J20" s="39">
        <f t="shared" si="6"/>
        <v>0</v>
      </c>
      <c r="K20" s="40"/>
      <c r="L20" s="41"/>
      <c r="M20" s="42"/>
      <c r="Q20" s="53"/>
    </row>
    <row r="21" spans="1:17">
      <c r="A21" s="34">
        <v>3</v>
      </c>
      <c r="B21" s="44" t="s">
        <v>44</v>
      </c>
      <c r="C21" s="44"/>
      <c r="D21" s="44"/>
      <c r="E21" s="38">
        <v>1</v>
      </c>
      <c r="F21" s="38"/>
      <c r="G21" s="38"/>
      <c r="H21" s="39"/>
      <c r="I21" s="39">
        <v>1</v>
      </c>
      <c r="J21" s="39">
        <f t="shared" si="6"/>
        <v>0</v>
      </c>
      <c r="K21" s="40"/>
      <c r="L21" s="41"/>
      <c r="M21" s="42"/>
      <c r="Q21" s="53"/>
    </row>
    <row r="22" spans="1:17">
      <c r="A22" s="34">
        <v>4</v>
      </c>
      <c r="B22" s="44" t="s">
        <v>45</v>
      </c>
      <c r="C22" s="44"/>
      <c r="D22" s="44"/>
      <c r="E22" s="38">
        <v>1</v>
      </c>
      <c r="F22" s="38"/>
      <c r="G22" s="38"/>
      <c r="H22" s="39"/>
      <c r="I22" s="39">
        <v>1</v>
      </c>
      <c r="J22" s="39">
        <f t="shared" ref="J22" si="7">E22*H22</f>
        <v>0</v>
      </c>
      <c r="K22" s="40"/>
      <c r="L22" s="41"/>
      <c r="M22" s="42"/>
      <c r="Q22" s="53"/>
    </row>
    <row r="23" spans="1:17">
      <c r="A23" s="29" t="s">
        <v>46</v>
      </c>
      <c r="B23" s="29"/>
      <c r="C23" s="29"/>
      <c r="D23" s="29"/>
      <c r="E23" s="29"/>
      <c r="F23" s="29"/>
      <c r="G23" s="29"/>
      <c r="H23" s="29"/>
      <c r="I23" s="29"/>
      <c r="J23" s="30">
        <f>SUM(J24:J35)</f>
        <v>0</v>
      </c>
      <c r="K23" s="29"/>
      <c r="L23" s="21"/>
      <c r="M23" s="42"/>
      <c r="Q23" s="53"/>
    </row>
    <row r="24" spans="1:17">
      <c r="A24" s="34">
        <v>1</v>
      </c>
      <c r="B24" s="46" t="s">
        <v>47</v>
      </c>
      <c r="C24" s="46"/>
      <c r="D24" s="44"/>
      <c r="E24" s="38">
        <v>1</v>
      </c>
      <c r="F24" s="38"/>
      <c r="G24" s="38"/>
      <c r="H24" s="39"/>
      <c r="I24" s="39">
        <v>1</v>
      </c>
      <c r="J24" s="39">
        <f>E24*H24</f>
        <v>0</v>
      </c>
      <c r="K24" s="40"/>
      <c r="L24" s="41"/>
      <c r="M24" s="42"/>
    </row>
    <row r="25" ht="14.25" customHeight="1" spans="1:17">
      <c r="A25" s="34">
        <v>2</v>
      </c>
      <c r="B25" s="46" t="s">
        <v>48</v>
      </c>
      <c r="C25" s="46"/>
      <c r="D25" s="44"/>
      <c r="E25" s="38">
        <v>1</v>
      </c>
      <c r="F25" s="38"/>
      <c r="G25" s="38"/>
      <c r="H25" s="39"/>
      <c r="I25" s="39">
        <v>1</v>
      </c>
      <c r="J25" s="39">
        <v>0</v>
      </c>
      <c r="K25" s="40"/>
      <c r="L25" s="41"/>
      <c r="M25" s="42"/>
      <c r="Q25" s="53"/>
    </row>
    <row r="26" spans="1:17">
      <c r="A26" s="34">
        <v>3</v>
      </c>
      <c r="B26" s="46" t="s">
        <v>49</v>
      </c>
      <c r="C26" s="46"/>
      <c r="D26" s="44"/>
      <c r="E26" s="38">
        <v>1</v>
      </c>
      <c r="F26" s="38"/>
      <c r="G26" s="38"/>
      <c r="H26" s="39"/>
      <c r="I26" s="39">
        <v>1</v>
      </c>
      <c r="J26" s="39">
        <f t="shared" ref="J26" si="8">E26*H26</f>
        <v>0</v>
      </c>
      <c r="K26" s="40"/>
      <c r="L26" s="41"/>
      <c r="M26" s="42"/>
      <c r="Q26" s="53"/>
    </row>
    <row r="27" spans="1:17">
      <c r="A27" s="34">
        <v>4</v>
      </c>
      <c r="B27" s="44" t="s">
        <v>50</v>
      </c>
      <c r="C27" s="44"/>
      <c r="D27" s="44"/>
      <c r="E27" s="38">
        <v>1</v>
      </c>
      <c r="F27" s="47"/>
      <c r="G27" s="47"/>
      <c r="H27" s="48"/>
      <c r="I27" s="48">
        <v>1</v>
      </c>
      <c r="J27" s="48">
        <v>0</v>
      </c>
      <c r="K27" s="49"/>
      <c r="L27" s="41"/>
      <c r="M27" s="42"/>
      <c r="Q27" s="53"/>
    </row>
    <row r="28" spans="1:17">
      <c r="A28" s="34">
        <v>5</v>
      </c>
      <c r="B28" s="44" t="s">
        <v>51</v>
      </c>
      <c r="C28" s="44"/>
      <c r="D28" s="44"/>
      <c r="E28" s="38">
        <v>1</v>
      </c>
      <c r="F28" s="47"/>
      <c r="G28" s="47"/>
      <c r="H28" s="48"/>
      <c r="I28" s="48">
        <v>1</v>
      </c>
      <c r="J28" s="48">
        <v>0</v>
      </c>
      <c r="K28" s="49"/>
      <c r="L28" s="41"/>
      <c r="M28" s="42"/>
      <c r="Q28" s="53"/>
    </row>
    <row r="29" spans="1:17">
      <c r="A29" s="34">
        <v>6</v>
      </c>
      <c r="B29" s="44" t="s">
        <v>52</v>
      </c>
      <c r="C29" s="44"/>
      <c r="D29" s="44"/>
      <c r="E29" s="38">
        <v>1</v>
      </c>
      <c r="F29" s="47"/>
      <c r="G29" s="47"/>
      <c r="H29" s="48"/>
      <c r="I29" s="48">
        <v>1</v>
      </c>
      <c r="J29" s="48">
        <v>0</v>
      </c>
      <c r="K29" s="49"/>
      <c r="L29" s="41"/>
      <c r="M29" s="42"/>
      <c r="Q29" s="53"/>
    </row>
    <row r="30" spans="1:17">
      <c r="A30" s="34">
        <v>7</v>
      </c>
      <c r="B30" s="44" t="s">
        <v>53</v>
      </c>
      <c r="C30" s="44"/>
      <c r="D30" s="44"/>
      <c r="E30" s="38">
        <v>1</v>
      </c>
      <c r="F30" s="47"/>
      <c r="G30" s="47"/>
      <c r="H30" s="48"/>
      <c r="I30" s="48">
        <v>1</v>
      </c>
      <c r="J30" s="48">
        <v>0</v>
      </c>
      <c r="K30" s="49"/>
      <c r="L30" s="41"/>
      <c r="M30" s="42"/>
      <c r="Q30" s="53"/>
    </row>
    <row r="31" spans="1:17">
      <c r="A31" s="34">
        <v>8</v>
      </c>
      <c r="B31" s="44" t="s">
        <v>54</v>
      </c>
      <c r="C31" s="44"/>
      <c r="D31" s="44"/>
      <c r="E31" s="38">
        <v>1</v>
      </c>
      <c r="F31" s="47"/>
      <c r="G31" s="47"/>
      <c r="H31" s="48"/>
      <c r="I31" s="48">
        <v>1</v>
      </c>
      <c r="J31" s="48">
        <v>0</v>
      </c>
      <c r="K31" s="49"/>
      <c r="L31" s="41"/>
      <c r="M31" s="42"/>
      <c r="Q31" s="53"/>
    </row>
    <row r="32" ht="22.5" spans="1:17">
      <c r="A32" s="34">
        <v>9</v>
      </c>
      <c r="B32" s="54" t="s">
        <v>55</v>
      </c>
      <c r="C32" s="54"/>
      <c r="D32" s="44"/>
      <c r="E32" s="38">
        <v>1</v>
      </c>
      <c r="F32" s="47"/>
      <c r="G32" s="47"/>
      <c r="H32" s="48"/>
      <c r="I32" s="48">
        <v>1</v>
      </c>
      <c r="J32" s="48">
        <v>0</v>
      </c>
      <c r="K32" s="49"/>
      <c r="L32" s="41"/>
      <c r="M32" s="42"/>
      <c r="Q32" s="53"/>
    </row>
    <row r="33" spans="1:17">
      <c r="A33" s="34">
        <v>10</v>
      </c>
      <c r="B33" s="46" t="s">
        <v>56</v>
      </c>
      <c r="C33" s="46"/>
      <c r="D33" s="44"/>
      <c r="E33" s="38">
        <v>1</v>
      </c>
      <c r="F33" s="47"/>
      <c r="G33" s="47"/>
      <c r="H33" s="48"/>
      <c r="I33" s="48">
        <v>1</v>
      </c>
      <c r="J33" s="48">
        <v>0</v>
      </c>
      <c r="K33" s="49"/>
      <c r="L33" s="41"/>
      <c r="M33" s="42"/>
      <c r="Q33" s="53"/>
    </row>
    <row r="34" ht="14.25" customHeight="1" spans="1:17">
      <c r="A34" s="34">
        <v>11</v>
      </c>
      <c r="B34" s="44" t="s">
        <v>57</v>
      </c>
      <c r="C34" s="44"/>
      <c r="D34" s="44"/>
      <c r="E34" s="38">
        <v>1</v>
      </c>
      <c r="F34" s="47"/>
      <c r="G34" s="47"/>
      <c r="H34" s="48"/>
      <c r="I34" s="48">
        <v>1</v>
      </c>
      <c r="J34" s="48">
        <f>SUM(J35:J48)</f>
        <v>0</v>
      </c>
      <c r="K34" s="49"/>
      <c r="L34" s="41"/>
      <c r="M34" s="42"/>
      <c r="Q34" s="53"/>
    </row>
    <row r="35" spans="1:17">
      <c r="A35" s="34">
        <v>12</v>
      </c>
      <c r="B35" s="44" t="s">
        <v>45</v>
      </c>
      <c r="C35" s="44"/>
      <c r="D35" s="44"/>
      <c r="E35" s="38">
        <v>1</v>
      </c>
      <c r="F35" s="47"/>
      <c r="G35" s="47"/>
      <c r="H35" s="48"/>
      <c r="I35" s="48">
        <v>1</v>
      </c>
      <c r="J35" s="48">
        <v>0</v>
      </c>
      <c r="K35" s="49"/>
      <c r="L35" s="41"/>
      <c r="M35" s="42"/>
      <c r="Q35" s="53"/>
    </row>
    <row r="36" ht="13.9" customHeight="1" spans="1:17">
      <c r="A36" s="29" t="s">
        <v>58</v>
      </c>
      <c r="B36" s="29"/>
      <c r="C36" s="29"/>
      <c r="D36" s="55"/>
      <c r="E36" s="55"/>
      <c r="F36" s="55"/>
      <c r="G36" s="55"/>
      <c r="H36" s="55"/>
      <c r="I36" s="55"/>
      <c r="J36" s="30">
        <v>0</v>
      </c>
      <c r="K36" s="56"/>
      <c r="L36" s="41"/>
      <c r="M36" s="57"/>
      <c r="Q36" s="53"/>
    </row>
    <row r="37" s="3" customFormat="1" ht="13.5" customHeight="1" spans="1:17">
      <c r="A37" s="58">
        <v>1</v>
      </c>
      <c r="B37" s="46" t="s">
        <v>59</v>
      </c>
      <c r="C37" s="46"/>
      <c r="D37" s="46"/>
      <c r="E37" s="38">
        <v>1</v>
      </c>
      <c r="F37" s="47"/>
      <c r="G37" s="47"/>
      <c r="H37" s="48"/>
      <c r="I37" s="39">
        <v>1</v>
      </c>
      <c r="J37" s="39">
        <f>E37*H37</f>
        <v>0</v>
      </c>
      <c r="K37" s="49"/>
      <c r="L37" s="41"/>
      <c r="M37" s="31" t="s">
        <v>60</v>
      </c>
      <c r="Q37" s="53"/>
    </row>
    <row r="38" s="3" customFormat="1" spans="1:17">
      <c r="A38" s="58">
        <v>2</v>
      </c>
      <c r="B38" s="46" t="s">
        <v>61</v>
      </c>
      <c r="C38" s="46"/>
      <c r="D38" s="46"/>
      <c r="E38" s="38">
        <v>1</v>
      </c>
      <c r="F38" s="47"/>
      <c r="G38" s="47"/>
      <c r="H38" s="48"/>
      <c r="I38" s="39">
        <v>1</v>
      </c>
      <c r="J38" s="39">
        <f>E38*H38</f>
        <v>0</v>
      </c>
      <c r="K38" s="49"/>
      <c r="L38" s="41"/>
      <c r="M38" s="31"/>
      <c r="Q38" s="53"/>
    </row>
    <row r="39" spans="1:17">
      <c r="A39" s="58">
        <v>3</v>
      </c>
      <c r="B39" s="44" t="s">
        <v>62</v>
      </c>
      <c r="C39" s="44"/>
      <c r="D39" s="44"/>
      <c r="E39" s="38">
        <v>1</v>
      </c>
      <c r="F39" s="38"/>
      <c r="G39" s="38"/>
      <c r="H39" s="39"/>
      <c r="I39" s="39">
        <v>1</v>
      </c>
      <c r="J39" s="39">
        <f t="shared" ref="J39" si="9">E39*H39</f>
        <v>0</v>
      </c>
      <c r="K39" s="40"/>
      <c r="L39" s="41"/>
      <c r="M39" s="31"/>
      <c r="P39" s="3"/>
    </row>
    <row r="40" spans="1:17">
      <c r="A40" s="58">
        <v>4</v>
      </c>
      <c r="B40" s="54" t="s">
        <v>63</v>
      </c>
      <c r="C40" s="54"/>
      <c r="D40" s="44"/>
      <c r="E40" s="38">
        <v>1</v>
      </c>
      <c r="F40" s="38"/>
      <c r="G40" s="38"/>
      <c r="H40" s="39"/>
      <c r="I40" s="39">
        <v>1</v>
      </c>
      <c r="J40" s="39">
        <f t="shared" ref="J40" si="10">E40*H40</f>
        <v>0</v>
      </c>
      <c r="K40" s="40"/>
      <c r="L40" s="41"/>
      <c r="M40" s="31"/>
      <c r="P40" s="3"/>
    </row>
    <row r="41" s="3" customFormat="1" spans="1:17">
      <c r="A41" s="58">
        <v>5</v>
      </c>
      <c r="B41" s="46" t="s">
        <v>64</v>
      </c>
      <c r="C41" s="46"/>
      <c r="D41" s="51"/>
      <c r="E41" s="38">
        <v>1</v>
      </c>
      <c r="F41" s="47"/>
      <c r="G41" s="47"/>
      <c r="H41" s="48"/>
      <c r="I41" s="39">
        <v>1</v>
      </c>
      <c r="J41" s="39">
        <v>0</v>
      </c>
      <c r="K41" s="49"/>
      <c r="L41" s="41"/>
      <c r="M41" s="31"/>
    </row>
    <row r="42" s="3" customFormat="1" spans="1:17">
      <c r="A42" s="58">
        <v>6</v>
      </c>
      <c r="B42" s="46" t="s">
        <v>65</v>
      </c>
      <c r="C42" s="46"/>
      <c r="D42" s="46"/>
      <c r="E42" s="38">
        <v>1</v>
      </c>
      <c r="F42" s="47"/>
      <c r="G42" s="47"/>
      <c r="H42" s="48"/>
      <c r="I42" s="39">
        <v>1</v>
      </c>
      <c r="J42" s="39">
        <v>0</v>
      </c>
      <c r="K42" s="49"/>
      <c r="L42" s="41"/>
      <c r="M42" s="31" t="s">
        <v>66</v>
      </c>
    </row>
    <row r="43" s="3" customFormat="1" spans="1:17">
      <c r="A43" s="58">
        <v>7</v>
      </c>
      <c r="B43" s="46" t="s">
        <v>67</v>
      </c>
      <c r="C43" s="46"/>
      <c r="D43" s="46"/>
      <c r="E43" s="38">
        <v>1</v>
      </c>
      <c r="F43" s="47"/>
      <c r="G43" s="47"/>
      <c r="H43" s="48"/>
      <c r="I43" s="39">
        <v>1</v>
      </c>
      <c r="J43" s="39">
        <v>0</v>
      </c>
      <c r="K43" s="49"/>
      <c r="L43" s="41"/>
      <c r="M43" s="31"/>
    </row>
    <row r="44" s="3" customFormat="1" spans="1:17">
      <c r="A44" s="58">
        <v>8</v>
      </c>
      <c r="B44" s="46" t="s">
        <v>68</v>
      </c>
      <c r="C44" s="46"/>
      <c r="D44" s="46"/>
      <c r="E44" s="38">
        <v>1</v>
      </c>
      <c r="F44" s="47"/>
      <c r="G44" s="47"/>
      <c r="H44" s="48"/>
      <c r="I44" s="39">
        <v>1</v>
      </c>
      <c r="J44" s="39">
        <v>0</v>
      </c>
      <c r="K44" s="49"/>
      <c r="L44" s="41"/>
      <c r="M44" s="31"/>
    </row>
    <row r="45" s="3" customFormat="1" spans="1:17">
      <c r="A45" s="58">
        <v>9</v>
      </c>
      <c r="B45" s="46" t="s">
        <v>69</v>
      </c>
      <c r="C45" s="46"/>
      <c r="D45" s="46"/>
      <c r="E45" s="38">
        <v>1</v>
      </c>
      <c r="F45" s="47"/>
      <c r="G45" s="47"/>
      <c r="H45" s="48"/>
      <c r="I45" s="39">
        <v>1</v>
      </c>
      <c r="J45" s="39">
        <v>0</v>
      </c>
      <c r="K45" s="49"/>
      <c r="L45" s="41"/>
      <c r="M45" s="31"/>
      <c r="P45" s="59"/>
    </row>
    <row r="46" s="3" customFormat="1" spans="1:17">
      <c r="A46" s="58">
        <v>10</v>
      </c>
      <c r="B46" s="46" t="s">
        <v>70</v>
      </c>
      <c r="C46" s="46"/>
      <c r="D46" s="46"/>
      <c r="E46" s="38">
        <v>1</v>
      </c>
      <c r="F46" s="47"/>
      <c r="G46" s="47"/>
      <c r="H46" s="48"/>
      <c r="I46" s="39">
        <v>1</v>
      </c>
      <c r="J46" s="39">
        <v>0</v>
      </c>
      <c r="K46" s="49"/>
      <c r="L46" s="41"/>
      <c r="M46" s="31"/>
      <c r="P46" s="59"/>
    </row>
    <row r="47" s="3" customFormat="1" spans="1:17">
      <c r="A47" s="58">
        <v>11</v>
      </c>
      <c r="B47" s="46" t="s">
        <v>71</v>
      </c>
      <c r="C47" s="46"/>
      <c r="D47" s="46"/>
      <c r="E47" s="38">
        <v>1</v>
      </c>
      <c r="F47" s="47"/>
      <c r="G47" s="47"/>
      <c r="H47" s="48"/>
      <c r="I47" s="39">
        <v>1</v>
      </c>
      <c r="J47" s="39">
        <v>0</v>
      </c>
      <c r="K47" s="49"/>
      <c r="L47" s="41"/>
      <c r="M47" s="31"/>
      <c r="P47" s="59"/>
    </row>
    <row r="48" spans="1:17">
      <c r="A48" s="58">
        <v>12</v>
      </c>
      <c r="B48" s="44" t="s">
        <v>72</v>
      </c>
      <c r="C48" s="44"/>
      <c r="D48" s="44"/>
      <c r="E48" s="38">
        <v>1</v>
      </c>
      <c r="F48" s="38"/>
      <c r="G48" s="38"/>
      <c r="H48" s="39"/>
      <c r="I48" s="39">
        <v>1</v>
      </c>
      <c r="J48" s="39">
        <f t="shared" ref="J48" si="11">E48*H48</f>
        <v>0</v>
      </c>
      <c r="K48" s="40"/>
      <c r="L48" s="41"/>
      <c r="M48" s="31"/>
      <c r="P48" s="3"/>
    </row>
    <row r="49" spans="1:16">
      <c r="A49" s="29" t="s">
        <v>73</v>
      </c>
      <c r="B49" s="29"/>
      <c r="C49" s="29"/>
      <c r="D49" s="55"/>
      <c r="E49" s="55"/>
      <c r="F49" s="55"/>
      <c r="G49" s="55"/>
      <c r="H49" s="55"/>
      <c r="I49" s="55"/>
      <c r="J49" s="30">
        <f>SUM(J68:J68)</f>
        <v>0</v>
      </c>
      <c r="K49" s="56"/>
      <c r="L49" s="41"/>
      <c r="M49" s="31" t="s">
        <v>74</v>
      </c>
      <c r="P49" s="59"/>
    </row>
    <row r="50" spans="1:16">
      <c r="A50" s="34">
        <v>1</v>
      </c>
      <c r="B50" s="44" t="s">
        <v>75</v>
      </c>
      <c r="C50" s="44"/>
      <c r="D50" s="44"/>
      <c r="E50" s="38">
        <v>1</v>
      </c>
      <c r="F50" s="38"/>
      <c r="G50" s="38"/>
      <c r="H50" s="39"/>
      <c r="I50" s="39">
        <v>1</v>
      </c>
      <c r="J50" s="39">
        <f t="shared" ref="J50:J68" si="12">E50*H50</f>
        <v>0</v>
      </c>
      <c r="K50" s="40"/>
      <c r="L50" s="41"/>
      <c r="M50" s="42"/>
      <c r="P50" s="3"/>
    </row>
    <row r="51" spans="1:16">
      <c r="A51" s="34">
        <v>2</v>
      </c>
      <c r="B51" s="44" t="s">
        <v>76</v>
      </c>
      <c r="C51" s="44"/>
      <c r="D51" s="44"/>
      <c r="E51" s="38">
        <v>1</v>
      </c>
      <c r="F51" s="38"/>
      <c r="G51" s="38"/>
      <c r="H51" s="39"/>
      <c r="I51" s="39">
        <v>1</v>
      </c>
      <c r="J51" s="39">
        <f t="shared" si="12"/>
        <v>0</v>
      </c>
      <c r="K51" s="40"/>
      <c r="L51" s="41"/>
      <c r="M51" s="42"/>
      <c r="P51" s="3"/>
    </row>
    <row r="52" spans="1:16">
      <c r="A52" s="34">
        <v>3</v>
      </c>
      <c r="B52" s="44" t="s">
        <v>77</v>
      </c>
      <c r="C52" s="44"/>
      <c r="D52" s="44"/>
      <c r="E52" s="38">
        <v>1</v>
      </c>
      <c r="F52" s="38"/>
      <c r="G52" s="38"/>
      <c r="H52" s="39"/>
      <c r="I52" s="39">
        <v>1</v>
      </c>
      <c r="J52" s="39">
        <f t="shared" si="12"/>
        <v>0</v>
      </c>
      <c r="K52" s="40"/>
      <c r="L52" s="41"/>
      <c r="M52" s="42"/>
      <c r="P52" s="3"/>
    </row>
    <row r="53" spans="1:16">
      <c r="A53" s="34">
        <v>4</v>
      </c>
      <c r="B53" s="44" t="s">
        <v>78</v>
      </c>
      <c r="C53" s="44"/>
      <c r="D53" s="44"/>
      <c r="E53" s="38">
        <v>1</v>
      </c>
      <c r="F53" s="38"/>
      <c r="G53" s="38"/>
      <c r="H53" s="39"/>
      <c r="I53" s="39">
        <v>1</v>
      </c>
      <c r="J53" s="39">
        <f t="shared" si="12"/>
        <v>0</v>
      </c>
      <c r="K53" s="40"/>
      <c r="L53" s="41"/>
      <c r="M53" s="42"/>
      <c r="P53" s="3"/>
    </row>
    <row r="54" spans="1:16">
      <c r="A54" s="34">
        <v>5</v>
      </c>
      <c r="B54" s="44" t="s">
        <v>79</v>
      </c>
      <c r="C54" s="44"/>
      <c r="D54" s="44"/>
      <c r="E54" s="38">
        <v>1</v>
      </c>
      <c r="F54" s="38"/>
      <c r="G54" s="38"/>
      <c r="H54" s="39"/>
      <c r="I54" s="39">
        <v>1</v>
      </c>
      <c r="J54" s="39">
        <f t="shared" si="12"/>
        <v>0</v>
      </c>
      <c r="K54" s="40"/>
      <c r="L54" s="41"/>
      <c r="M54" s="42"/>
      <c r="P54" s="59"/>
    </row>
    <row r="55" spans="1:16">
      <c r="A55" s="34">
        <v>6</v>
      </c>
      <c r="B55" s="44" t="s">
        <v>80</v>
      </c>
      <c r="C55" s="44"/>
      <c r="D55" s="44"/>
      <c r="E55" s="38">
        <v>1</v>
      </c>
      <c r="F55" s="38"/>
      <c r="G55" s="38"/>
      <c r="H55" s="39"/>
      <c r="I55" s="39">
        <v>1</v>
      </c>
      <c r="J55" s="39">
        <f t="shared" si="12"/>
        <v>0</v>
      </c>
      <c r="K55" s="40"/>
      <c r="L55" s="41"/>
      <c r="M55" s="42"/>
    </row>
    <row r="56" spans="1:16">
      <c r="A56" s="34">
        <v>7</v>
      </c>
      <c r="B56" s="44" t="s">
        <v>81</v>
      </c>
      <c r="C56" s="44"/>
      <c r="D56" s="44"/>
      <c r="E56" s="38">
        <v>1</v>
      </c>
      <c r="F56" s="38"/>
      <c r="G56" s="38"/>
      <c r="H56" s="39"/>
      <c r="I56" s="39">
        <v>1</v>
      </c>
      <c r="J56" s="39">
        <f t="shared" si="12"/>
        <v>0</v>
      </c>
      <c r="K56" s="40"/>
      <c r="L56" s="41"/>
      <c r="M56" s="42"/>
    </row>
    <row r="57" spans="1:16">
      <c r="A57" s="34">
        <v>8</v>
      </c>
      <c r="B57" s="44" t="s">
        <v>82</v>
      </c>
      <c r="C57" s="44"/>
      <c r="D57" s="44"/>
      <c r="E57" s="38">
        <v>1</v>
      </c>
      <c r="F57" s="38"/>
      <c r="G57" s="38"/>
      <c r="H57" s="39"/>
      <c r="I57" s="39">
        <v>1</v>
      </c>
      <c r="J57" s="39">
        <f t="shared" si="12"/>
        <v>0</v>
      </c>
      <c r="K57" s="40"/>
      <c r="L57" s="41"/>
      <c r="M57" s="42"/>
    </row>
    <row r="58" spans="1:16">
      <c r="A58" s="34">
        <v>9</v>
      </c>
      <c r="B58" s="44" t="s">
        <v>83</v>
      </c>
      <c r="C58" s="44"/>
      <c r="D58" s="44"/>
      <c r="E58" s="38">
        <v>1</v>
      </c>
      <c r="F58" s="38"/>
      <c r="G58" s="38"/>
      <c r="H58" s="39"/>
      <c r="I58" s="39">
        <v>1</v>
      </c>
      <c r="J58" s="39">
        <f t="shared" si="12"/>
        <v>0</v>
      </c>
      <c r="K58" s="40"/>
      <c r="L58" s="41"/>
      <c r="M58" s="42"/>
    </row>
    <row r="59" spans="1:16">
      <c r="A59" s="34">
        <v>10</v>
      </c>
      <c r="B59" s="44" t="s">
        <v>84</v>
      </c>
      <c r="C59" s="44"/>
      <c r="D59" s="44"/>
      <c r="E59" s="38">
        <v>1</v>
      </c>
      <c r="F59" s="38"/>
      <c r="G59" s="38"/>
      <c r="H59" s="39"/>
      <c r="I59" s="39">
        <v>1</v>
      </c>
      <c r="J59" s="39">
        <f t="shared" si="12"/>
        <v>0</v>
      </c>
      <c r="K59" s="40"/>
      <c r="L59" s="41"/>
      <c r="M59" s="42"/>
    </row>
    <row r="60" spans="1:16">
      <c r="A60" s="34">
        <v>11</v>
      </c>
      <c r="B60" s="44" t="s">
        <v>85</v>
      </c>
      <c r="C60" s="44"/>
      <c r="D60" s="44"/>
      <c r="E60" s="38">
        <v>1</v>
      </c>
      <c r="F60" s="38"/>
      <c r="G60" s="38"/>
      <c r="H60" s="39"/>
      <c r="I60" s="39">
        <v>1</v>
      </c>
      <c r="J60" s="39">
        <f t="shared" si="12"/>
        <v>0</v>
      </c>
      <c r="K60" s="40"/>
      <c r="L60" s="41"/>
      <c r="M60" s="42"/>
    </row>
    <row r="61" spans="1:16">
      <c r="A61" s="34">
        <v>12</v>
      </c>
      <c r="B61" s="44" t="s">
        <v>86</v>
      </c>
      <c r="C61" s="44"/>
      <c r="D61" s="44"/>
      <c r="E61" s="38">
        <v>1</v>
      </c>
      <c r="F61" s="38"/>
      <c r="G61" s="38"/>
      <c r="H61" s="39"/>
      <c r="I61" s="39">
        <v>1</v>
      </c>
      <c r="J61" s="39">
        <f t="shared" si="12"/>
        <v>0</v>
      </c>
      <c r="K61" s="40"/>
      <c r="L61" s="41"/>
      <c r="M61" s="42"/>
    </row>
    <row r="62" spans="1:16">
      <c r="A62" s="34">
        <v>13</v>
      </c>
      <c r="B62" s="44" t="s">
        <v>87</v>
      </c>
      <c r="C62" s="44"/>
      <c r="D62" s="44"/>
      <c r="E62" s="38">
        <v>1</v>
      </c>
      <c r="F62" s="38"/>
      <c r="G62" s="38"/>
      <c r="H62" s="39"/>
      <c r="I62" s="39">
        <v>1</v>
      </c>
      <c r="J62" s="39">
        <f t="shared" si="12"/>
        <v>0</v>
      </c>
      <c r="K62" s="40"/>
      <c r="L62" s="41"/>
      <c r="M62" s="42"/>
    </row>
    <row r="63" spans="1:16">
      <c r="A63" s="34">
        <v>14</v>
      </c>
      <c r="B63" s="44" t="s">
        <v>88</v>
      </c>
      <c r="C63" s="44"/>
      <c r="D63" s="44"/>
      <c r="E63" s="38">
        <v>1</v>
      </c>
      <c r="F63" s="38"/>
      <c r="G63" s="38"/>
      <c r="H63" s="39"/>
      <c r="I63" s="39">
        <v>1</v>
      </c>
      <c r="J63" s="39">
        <f t="shared" si="12"/>
        <v>0</v>
      </c>
      <c r="K63" s="40"/>
      <c r="L63" s="41"/>
      <c r="M63" s="42"/>
    </row>
    <row r="64" spans="1:16">
      <c r="A64" s="34">
        <v>15</v>
      </c>
      <c r="B64" s="44" t="s">
        <v>89</v>
      </c>
      <c r="C64" s="44"/>
      <c r="D64" s="44"/>
      <c r="E64" s="38">
        <v>1</v>
      </c>
      <c r="F64" s="38"/>
      <c r="G64" s="38"/>
      <c r="H64" s="39"/>
      <c r="I64" s="39">
        <v>1</v>
      </c>
      <c r="J64" s="39">
        <f t="shared" si="12"/>
        <v>0</v>
      </c>
      <c r="K64" s="40"/>
      <c r="L64" s="41"/>
      <c r="M64" s="42"/>
    </row>
    <row r="65" ht="25.5" customHeight="1" spans="1:14">
      <c r="A65" s="34">
        <v>16</v>
      </c>
      <c r="B65" s="54" t="s">
        <v>90</v>
      </c>
      <c r="C65" s="54"/>
      <c r="D65" s="44"/>
      <c r="E65" s="38">
        <v>1</v>
      </c>
      <c r="F65" s="38"/>
      <c r="G65" s="38"/>
      <c r="H65" s="39"/>
      <c r="I65" s="39">
        <v>1</v>
      </c>
      <c r="J65" s="39">
        <f t="shared" si="12"/>
        <v>0</v>
      </c>
      <c r="K65" s="40"/>
      <c r="L65" s="41"/>
      <c r="M65" s="42"/>
    </row>
    <row r="66" s="4" customFormat="1" spans="1:14">
      <c r="A66" s="34">
        <v>17</v>
      </c>
      <c r="B66" s="60" t="s">
        <v>91</v>
      </c>
      <c r="C66" s="60"/>
      <c r="D66" s="34"/>
      <c r="E66" s="38">
        <v>1</v>
      </c>
      <c r="F66" s="38"/>
      <c r="G66" s="38"/>
      <c r="H66" s="39"/>
      <c r="I66" s="39">
        <v>1</v>
      </c>
      <c r="J66" s="39">
        <f t="shared" si="12"/>
        <v>0</v>
      </c>
      <c r="K66" s="40"/>
      <c r="L66" s="61"/>
      <c r="M66" s="42"/>
    </row>
    <row r="67" s="4" customFormat="1" spans="1:14">
      <c r="A67" s="34">
        <v>18</v>
      </c>
      <c r="B67" s="60" t="s">
        <v>92</v>
      </c>
      <c r="C67" s="60"/>
      <c r="D67" s="34"/>
      <c r="E67" s="38">
        <v>1</v>
      </c>
      <c r="F67" s="38"/>
      <c r="G67" s="38"/>
      <c r="H67" s="39"/>
      <c r="I67" s="39">
        <v>1</v>
      </c>
      <c r="J67" s="39">
        <f t="shared" ref="J67" si="13">E67*H67</f>
        <v>0</v>
      </c>
      <c r="K67" s="40"/>
      <c r="L67" s="61"/>
      <c r="M67" s="42"/>
    </row>
    <row r="68" spans="1:14">
      <c r="A68" s="34">
        <v>19</v>
      </c>
      <c r="B68" s="44" t="s">
        <v>45</v>
      </c>
      <c r="C68" s="44"/>
      <c r="D68" s="44"/>
      <c r="E68" s="38">
        <v>1</v>
      </c>
      <c r="F68" s="38"/>
      <c r="G68" s="38"/>
      <c r="H68" s="39"/>
      <c r="I68" s="39">
        <v>1</v>
      </c>
      <c r="J68" s="39">
        <f t="shared" si="12"/>
        <v>0</v>
      </c>
      <c r="K68" s="40"/>
      <c r="L68" s="41"/>
      <c r="M68" s="42"/>
    </row>
    <row r="69" ht="21" customHeight="1" spans="1:14">
      <c r="A69" s="29" t="s">
        <v>93</v>
      </c>
      <c r="B69" s="29"/>
      <c r="C69" s="29"/>
      <c r="D69" s="55"/>
      <c r="E69" s="29">
        <v>1</v>
      </c>
      <c r="F69" s="29"/>
      <c r="G69" s="29"/>
      <c r="H69" s="30"/>
      <c r="I69" s="30">
        <v>1</v>
      </c>
      <c r="J69" s="30">
        <v>0</v>
      </c>
      <c r="K69" s="56"/>
      <c r="L69" s="41"/>
      <c r="M69" s="62" t="s">
        <v>94</v>
      </c>
    </row>
    <row r="70" ht="21" customHeight="1" spans="1:14">
      <c r="A70" s="29" t="s">
        <v>95</v>
      </c>
      <c r="B70" s="29"/>
      <c r="C70" s="29"/>
      <c r="D70" s="55"/>
      <c r="E70" s="29">
        <v>1</v>
      </c>
      <c r="F70" s="29"/>
      <c r="G70" s="29"/>
      <c r="H70" s="30"/>
      <c r="I70" s="30">
        <v>1</v>
      </c>
      <c r="J70" s="30">
        <v>0</v>
      </c>
      <c r="K70" s="63"/>
      <c r="L70" s="64"/>
      <c r="M70" s="62" t="s">
        <v>29</v>
      </c>
      <c r="N70" s="65"/>
    </row>
    <row r="71" ht="22.15" customHeight="1" spans="1:14">
      <c r="A71" s="66" t="s">
        <v>96</v>
      </c>
      <c r="B71" s="66"/>
      <c r="C71" s="66"/>
      <c r="D71" s="67"/>
      <c r="E71" s="67"/>
      <c r="F71" s="67"/>
      <c r="G71" s="67"/>
      <c r="H71" s="67"/>
      <c r="I71" s="67"/>
      <c r="J71" s="68">
        <f>J6+J18+J23+J36+J49+J69+J70</f>
        <v>0</v>
      </c>
      <c r="K71" s="69"/>
      <c r="L71" s="70"/>
      <c r="M71" s="41"/>
    </row>
  </sheetData>
  <mergeCells count="39">
    <mergeCell ref="A1:K1"/>
    <mergeCell ref="A2:B2"/>
    <mergeCell ref="C2:H2"/>
    <mergeCell ref="I2:J2"/>
    <mergeCell ref="A3:B3"/>
    <mergeCell ref="C3:H3"/>
    <mergeCell ref="I3:J3"/>
    <mergeCell ref="F4:G4"/>
    <mergeCell ref="O5:R5"/>
    <mergeCell ref="A6:B6"/>
    <mergeCell ref="D6:E6"/>
    <mergeCell ref="F6:G6"/>
    <mergeCell ref="H6:I6"/>
    <mergeCell ref="A18:B18"/>
    <mergeCell ref="D18:E18"/>
    <mergeCell ref="F18:G18"/>
    <mergeCell ref="H18:I18"/>
    <mergeCell ref="A23:B23"/>
    <mergeCell ref="D23:E23"/>
    <mergeCell ref="F23:G23"/>
    <mergeCell ref="H23:I23"/>
    <mergeCell ref="A36:B36"/>
    <mergeCell ref="A49:B49"/>
    <mergeCell ref="A69:B69"/>
    <mergeCell ref="A70:B70"/>
    <mergeCell ref="A71:B71"/>
    <mergeCell ref="A4:A5"/>
    <mergeCell ref="B4:B5"/>
    <mergeCell ref="C4:C5"/>
    <mergeCell ref="D4:D5"/>
    <mergeCell ref="I4:I5"/>
    <mergeCell ref="M4:M5"/>
    <mergeCell ref="M6:M35"/>
    <mergeCell ref="M37:M41"/>
    <mergeCell ref="M42:M48"/>
    <mergeCell ref="M49:M68"/>
    <mergeCell ref="S5:S6"/>
    <mergeCell ref="T5:T6"/>
    <mergeCell ref="U5:U6"/>
  </mergeCells>
  <pageMargins left="0.25" right="0.25" top="0.75" bottom="0.75" header="0.3" footer="0.3"/>
  <pageSetup paperSize="9" scale="75" fitToHeight="0" orientation="portrait"/>
  <headerFooter>
    <oddHeader>&amp;C&amp;"宋体"&amp;14甘肃蓝科石化高新装备股份有限公司&amp;R&amp;"宋体"&amp;B&amp;14&amp;KFF0000内部资料
严禁外传</oddHeader>
    <oddFooter>&amp;C&amp;"宋体"&amp;10F:\部门文件及其他工作\相关制度\附件一 产品制造类项目报价核算表.xlsx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产品制造类项目预算表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赵伟</dc:creator>
  <cp:lastModifiedBy>高莹</cp:lastModifiedBy>
  <dcterms:created xsi:type="dcterms:W3CDTF">2024-06-11T02:41:00Z</dcterms:created>
  <cp:lastPrinted>2026-09-04T05:59:00Z</cp:lastPrinted>
  <dcterms:modified xsi:type="dcterms:W3CDTF">2026-09-24T02:46:30Z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47F490D0AD2045F1B0A294E5CDB34291_12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